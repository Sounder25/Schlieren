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Schlieren\"/>
    </mc:Choice>
  </mc:AlternateContent>
  <xr:revisionPtr revIDLastSave="0" documentId="13_ncr:1_{7B73C057-4DCD-48DC-8BB4-32FAB7C8761B}" xr6:coauthVersionLast="47" xr6:coauthVersionMax="47" xr10:uidLastSave="{00000000-0000-0000-0000-000000000000}"/>
  <bookViews>
    <workbookView xWindow="2295" yWindow="2295" windowWidth="38700" windowHeight="15345" xr2:uid="{00000000-000D-0000-FFFF-FFFF00000000}"/>
  </bookViews>
  <sheets>
    <sheet name="Priority 25" sheetId="1" r:id="rId1"/>
    <sheet name="All 40" sheetId="2" r:id="rId2"/>
    <sheet name="Outreach Plays" sheetId="3" r:id="rId3"/>
    <sheet name="Scoring &amp; 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5" i="2" l="1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J30" i="1" s="1"/>
  <c r="R28" i="2"/>
  <c r="J29" i="1" s="1"/>
  <c r="R27" i="2"/>
  <c r="R26" i="2"/>
  <c r="R25" i="2"/>
  <c r="J26" i="1" s="1"/>
  <c r="R24" i="2"/>
  <c r="R23" i="2"/>
  <c r="J24" i="1" s="1"/>
  <c r="R22" i="2"/>
  <c r="J23" i="1" s="1"/>
  <c r="R21" i="2"/>
  <c r="R20" i="2"/>
  <c r="R19" i="2"/>
  <c r="J20" i="1" s="1"/>
  <c r="R18" i="2"/>
  <c r="R17" i="2"/>
  <c r="J18" i="1" s="1"/>
  <c r="R16" i="2"/>
  <c r="J17" i="1" s="1"/>
  <c r="R15" i="2"/>
  <c r="R14" i="2"/>
  <c r="R13" i="2"/>
  <c r="J14" i="1" s="1"/>
  <c r="R12" i="2"/>
  <c r="R11" i="2"/>
  <c r="J12" i="1" s="1"/>
  <c r="R10" i="2"/>
  <c r="J11" i="1" s="1"/>
  <c r="R9" i="2"/>
  <c r="R8" i="2"/>
  <c r="R7" i="2"/>
  <c r="J8" i="1" s="1"/>
  <c r="R6" i="2"/>
  <c r="L31" i="1"/>
  <c r="K31" i="1"/>
  <c r="J31" i="1"/>
  <c r="I31" i="1"/>
  <c r="H31" i="1"/>
  <c r="G31" i="1"/>
  <c r="F31" i="1"/>
  <c r="E31" i="1"/>
  <c r="D31" i="1"/>
  <c r="C31" i="1"/>
  <c r="B31" i="1"/>
  <c r="A31" i="1"/>
  <c r="L30" i="1"/>
  <c r="K30" i="1"/>
  <c r="I30" i="1"/>
  <c r="H30" i="1"/>
  <c r="G30" i="1"/>
  <c r="F30" i="1"/>
  <c r="E30" i="1"/>
  <c r="D30" i="1"/>
  <c r="C30" i="1"/>
  <c r="B30" i="1"/>
  <c r="A30" i="1"/>
  <c r="L29" i="1"/>
  <c r="K29" i="1"/>
  <c r="I29" i="1"/>
  <c r="H29" i="1"/>
  <c r="G29" i="1"/>
  <c r="F29" i="1"/>
  <c r="E29" i="1"/>
  <c r="D29" i="1"/>
  <c r="C29" i="1"/>
  <c r="B29" i="1"/>
  <c r="A29" i="1"/>
  <c r="L28" i="1"/>
  <c r="K28" i="1"/>
  <c r="J28" i="1"/>
  <c r="I28" i="1"/>
  <c r="H28" i="1"/>
  <c r="G28" i="1"/>
  <c r="F28" i="1"/>
  <c r="E28" i="1"/>
  <c r="D28" i="1"/>
  <c r="C28" i="1"/>
  <c r="B28" i="1"/>
  <c r="A28" i="1"/>
  <c r="L27" i="1"/>
  <c r="K27" i="1"/>
  <c r="J27" i="1"/>
  <c r="I27" i="1"/>
  <c r="H27" i="1"/>
  <c r="G27" i="1"/>
  <c r="F27" i="1"/>
  <c r="E27" i="1"/>
  <c r="D27" i="1"/>
  <c r="C27" i="1"/>
  <c r="B27" i="1"/>
  <c r="A27" i="1"/>
  <c r="L26" i="1"/>
  <c r="K26" i="1"/>
  <c r="I26" i="1"/>
  <c r="H26" i="1"/>
  <c r="G26" i="1"/>
  <c r="F26" i="1"/>
  <c r="E26" i="1"/>
  <c r="D26" i="1"/>
  <c r="C26" i="1"/>
  <c r="B26" i="1"/>
  <c r="A26" i="1"/>
  <c r="L25" i="1"/>
  <c r="K25" i="1"/>
  <c r="J25" i="1"/>
  <c r="I25" i="1"/>
  <c r="H25" i="1"/>
  <c r="G25" i="1"/>
  <c r="F25" i="1"/>
  <c r="E25" i="1"/>
  <c r="D25" i="1"/>
  <c r="C25" i="1"/>
  <c r="B25" i="1"/>
  <c r="A25" i="1"/>
  <c r="L24" i="1"/>
  <c r="K24" i="1"/>
  <c r="I24" i="1"/>
  <c r="H24" i="1"/>
  <c r="G24" i="1"/>
  <c r="F24" i="1"/>
  <c r="E24" i="1"/>
  <c r="D24" i="1"/>
  <c r="C24" i="1"/>
  <c r="B24" i="1"/>
  <c r="A24" i="1"/>
  <c r="L23" i="1"/>
  <c r="K23" i="1"/>
  <c r="I23" i="1"/>
  <c r="H23" i="1"/>
  <c r="G23" i="1"/>
  <c r="F23" i="1"/>
  <c r="E23" i="1"/>
  <c r="D23" i="1"/>
  <c r="C23" i="1"/>
  <c r="B23" i="1"/>
  <c r="A23" i="1"/>
  <c r="L22" i="1"/>
  <c r="K22" i="1"/>
  <c r="J22" i="1"/>
  <c r="I22" i="1"/>
  <c r="H22" i="1"/>
  <c r="G22" i="1"/>
  <c r="F22" i="1"/>
  <c r="E22" i="1"/>
  <c r="D22" i="1"/>
  <c r="C22" i="1"/>
  <c r="B22" i="1"/>
  <c r="A22" i="1"/>
  <c r="L21" i="1"/>
  <c r="K21" i="1"/>
  <c r="J21" i="1"/>
  <c r="I21" i="1"/>
  <c r="H21" i="1"/>
  <c r="G21" i="1"/>
  <c r="F21" i="1"/>
  <c r="E21" i="1"/>
  <c r="D21" i="1"/>
  <c r="C21" i="1"/>
  <c r="B21" i="1"/>
  <c r="A21" i="1"/>
  <c r="L20" i="1"/>
  <c r="K20" i="1"/>
  <c r="I20" i="1"/>
  <c r="H20" i="1"/>
  <c r="G20" i="1"/>
  <c r="F20" i="1"/>
  <c r="E20" i="1"/>
  <c r="D20" i="1"/>
  <c r="C20" i="1"/>
  <c r="B20" i="1"/>
  <c r="A20" i="1"/>
  <c r="L19" i="1"/>
  <c r="K19" i="1"/>
  <c r="J19" i="1"/>
  <c r="I19" i="1"/>
  <c r="H19" i="1"/>
  <c r="G19" i="1"/>
  <c r="F19" i="1"/>
  <c r="E19" i="1"/>
  <c r="D19" i="1"/>
  <c r="C19" i="1"/>
  <c r="B19" i="1"/>
  <c r="A19" i="1"/>
  <c r="L18" i="1"/>
  <c r="K18" i="1"/>
  <c r="I18" i="1"/>
  <c r="H18" i="1"/>
  <c r="G18" i="1"/>
  <c r="F18" i="1"/>
  <c r="E18" i="1"/>
  <c r="D18" i="1"/>
  <c r="C18" i="1"/>
  <c r="B18" i="1"/>
  <c r="A18" i="1"/>
  <c r="L17" i="1"/>
  <c r="K17" i="1"/>
  <c r="I17" i="1"/>
  <c r="H17" i="1"/>
  <c r="G17" i="1"/>
  <c r="F17" i="1"/>
  <c r="E17" i="1"/>
  <c r="D17" i="1"/>
  <c r="C17" i="1"/>
  <c r="B17" i="1"/>
  <c r="A17" i="1"/>
  <c r="L16" i="1"/>
  <c r="K16" i="1"/>
  <c r="J16" i="1"/>
  <c r="I16" i="1"/>
  <c r="H16" i="1"/>
  <c r="G16" i="1"/>
  <c r="F16" i="1"/>
  <c r="E16" i="1"/>
  <c r="D16" i="1"/>
  <c r="C16" i="1"/>
  <c r="B16" i="1"/>
  <c r="A16" i="1"/>
  <c r="L15" i="1"/>
  <c r="K15" i="1"/>
  <c r="J15" i="1"/>
  <c r="I15" i="1"/>
  <c r="H15" i="1"/>
  <c r="G15" i="1"/>
  <c r="F15" i="1"/>
  <c r="E15" i="1"/>
  <c r="D15" i="1"/>
  <c r="C15" i="1"/>
  <c r="B15" i="1"/>
  <c r="A15" i="1"/>
  <c r="L14" i="1"/>
  <c r="K14" i="1"/>
  <c r="I14" i="1"/>
  <c r="H14" i="1"/>
  <c r="G14" i="1"/>
  <c r="F14" i="1"/>
  <c r="E14" i="1"/>
  <c r="D14" i="1"/>
  <c r="C14" i="1"/>
  <c r="B14" i="1"/>
  <c r="A14" i="1"/>
  <c r="L13" i="1"/>
  <c r="K13" i="1"/>
  <c r="J13" i="1"/>
  <c r="I13" i="1"/>
  <c r="H13" i="1"/>
  <c r="G13" i="1"/>
  <c r="F13" i="1"/>
  <c r="E13" i="1"/>
  <c r="D13" i="1"/>
  <c r="C13" i="1"/>
  <c r="B13" i="1"/>
  <c r="A13" i="1"/>
  <c r="L12" i="1"/>
  <c r="K12" i="1"/>
  <c r="I12" i="1"/>
  <c r="H12" i="1"/>
  <c r="G12" i="1"/>
  <c r="F12" i="1"/>
  <c r="E12" i="1"/>
  <c r="D12" i="1"/>
  <c r="C12" i="1"/>
  <c r="B12" i="1"/>
  <c r="A12" i="1"/>
  <c r="L11" i="1"/>
  <c r="K11" i="1"/>
  <c r="I11" i="1"/>
  <c r="H11" i="1"/>
  <c r="G11" i="1"/>
  <c r="F11" i="1"/>
  <c r="E11" i="1"/>
  <c r="D11" i="1"/>
  <c r="C11" i="1"/>
  <c r="B11" i="1"/>
  <c r="A11" i="1"/>
  <c r="L10" i="1"/>
  <c r="K10" i="1"/>
  <c r="J10" i="1"/>
  <c r="I10" i="1"/>
  <c r="H10" i="1"/>
  <c r="G10" i="1"/>
  <c r="F10" i="1"/>
  <c r="E10" i="1"/>
  <c r="D10" i="1"/>
  <c r="C10" i="1"/>
  <c r="B10" i="1"/>
  <c r="A10" i="1"/>
  <c r="L9" i="1"/>
  <c r="K9" i="1"/>
  <c r="J9" i="1"/>
  <c r="I9" i="1"/>
  <c r="H9" i="1"/>
  <c r="G9" i="1"/>
  <c r="F9" i="1"/>
  <c r="E9" i="1"/>
  <c r="D9" i="1"/>
  <c r="C9" i="1"/>
  <c r="B9" i="1"/>
  <c r="A9" i="1"/>
  <c r="L8" i="1"/>
  <c r="K8" i="1"/>
  <c r="I8" i="1"/>
  <c r="H8" i="1"/>
  <c r="G8" i="1"/>
  <c r="F8" i="1"/>
  <c r="E8" i="1"/>
  <c r="D8" i="1"/>
  <c r="C8" i="1"/>
  <c r="B8" i="1"/>
  <c r="A8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<sst xmlns="http://schemas.openxmlformats.org/spreadsheetml/2006/main" count="957" uniqueCount="663">
  <si>
    <t>Schlieren Guard — Recommended First 25 Reach-Outs</t>
  </si>
  <si>
    <t>25
FIRST-WAVE TARGETS</t>
  </si>
  <si>
    <t>5 × 5
OUTREACH BATCHES</t>
  </si>
  <si>
    <t>1
PAID PILOT GOAL</t>
  </si>
  <si>
    <t>$2,500
PROPOSED PILOT</t>
  </si>
  <si>
    <t>Rank</t>
  </si>
  <si>
    <t>Company / product</t>
  </si>
  <si>
    <t>Segment</t>
  </si>
  <si>
    <t>Why this target</t>
  </si>
  <si>
    <t>Buyer role</t>
  </si>
  <si>
    <t>Contact route</t>
  </si>
  <si>
    <t>Public contact</t>
  </si>
  <si>
    <t>Opening pitch</t>
  </si>
  <si>
    <t>Current build gap</t>
  </si>
  <si>
    <t>Score</t>
  </si>
  <si>
    <t>Confidence</t>
  </si>
  <si>
    <t>Evidence</t>
  </si>
  <si>
    <t>Status</t>
  </si>
  <si>
    <t>Last touch</t>
  </si>
  <si>
    <t>Owner</t>
  </si>
  <si>
    <t>Next step / notes</t>
  </si>
  <si>
    <t>Not started</t>
  </si>
  <si>
    <t>Erick</t>
  </si>
  <si>
    <t>Schlieren Guard — 40 Verified Prospect Targets</t>
  </si>
  <si>
    <t>Ranking objective: fastest credible paid pilot. Scores are formula-driven; recommendation order also reflects current Ethereum/Uniswap V2 proof and sales-cycle judgment.</t>
  </si>
  <si>
    <t>Wave</t>
  </si>
  <si>
    <t>Company</t>
  </si>
  <si>
    <t>Product</t>
  </si>
  <si>
    <t>Why Guard fits</t>
  </si>
  <si>
    <t>Current demo fit / gap</t>
  </si>
  <si>
    <t>Best buyer role</t>
  </si>
  <si>
    <t>Primary contact path</t>
  </si>
  <si>
    <t>Public contact detail</t>
  </si>
  <si>
    <t>Contact URL</t>
  </si>
  <si>
    <t>Pitch angle</t>
  </si>
  <si>
    <t>Fit (0-5)</t>
  </si>
  <si>
    <t>Urgency (0-5)</t>
  </si>
  <si>
    <t>Contactability (0-5)</t>
  </si>
  <si>
    <t>Pilot simplicity (0-5)</t>
  </si>
  <si>
    <t>Conflict penalty (0-5)</t>
  </si>
  <si>
    <t>Priority score</t>
  </si>
  <si>
    <t>Contact confidence</t>
  </si>
  <si>
    <t>Product source</t>
  </si>
  <si>
    <t>Contact source</t>
  </si>
  <si>
    <t>Notes</t>
  </si>
  <si>
    <t>First 25</t>
  </si>
  <si>
    <t>Codex Data Inc.</t>
  </si>
  <si>
    <t>Defined.fi</t>
  </si>
  <si>
    <t>Trading analytics</t>
  </si>
  <si>
    <t>Token discovery and execution sit in one trader workflow; Guard adds reproducible sellability evidence when token data is inconclusive.</t>
  </si>
  <si>
    <t>Direct: Ethereum trading proof; router adapter may be needed</t>
  </si>
  <si>
    <t>Founder/CEO; Head of Product; Partnerships</t>
  </si>
  <si>
    <t>Email + LinkedIn role follow-up</t>
  </si>
  <si>
    <t>hello@defined.fi</t>
  </si>
  <si>
    <t>https://www.defined.fi/</t>
  </si>
  <si>
    <t>Add an execution-verified evidence card beside Defined's token data; start with disputed/high-risk EVM tokens.</t>
  </si>
  <si>
    <t>High</t>
  </si>
  <si>
    <t>https://www.codex.io/case-studies/defined</t>
  </si>
  <si>
    <t>https://play.google.com/store/apps/details?id=fi.defined</t>
  </si>
  <si>
    <t>Do not pitch a replacement for Codex data; pitch an evidence layer for exceptions.</t>
  </si>
  <si>
    <t>DEXTools</t>
  </si>
  <si>
    <t>Already surfaces token risk and has integrated external security data; Guard can become a second-opinion evidence link rather than another score.</t>
  </si>
  <si>
    <t>Direct: Ethereum/Uniswap-style proof</t>
  </si>
  <si>
    <t>Head of Product; API Partnerships; CTO</t>
  </si>
  <si>
    <t>Company email, then LinkedIn product lead</t>
  </si>
  <si>
    <t>info@dextools.io</t>
  </si>
  <si>
    <t>mailto:info@dextools.io</t>
  </si>
  <si>
    <t>When DEXTScore and static scanners disagree, open a pinned BUY→SELL replay showing what actually happened.</t>
  </si>
  <si>
    <t>https://info.dextools.io/dextools-api-v2-powering-the-future-of-defi/</t>
  </si>
  <si>
    <t>https://www.dextools.io/app/en</t>
  </si>
  <si>
    <t>Mention existing Quick Intel integration; sell complementary adjudication, not displacement.</t>
  </si>
  <si>
    <t>CryptoHub</t>
  </si>
  <si>
    <t>CoinScan</t>
  </si>
  <si>
    <t>Safety features and trader analytics make a verified sell test a natural premium or trust feature.</t>
  </si>
  <si>
    <t>Direct: Ethereum token workflow</t>
  </si>
  <si>
    <t>Founder; Product Lead; Partnerships</t>
  </si>
  <si>
    <t>Official support/business email</t>
  </si>
  <si>
    <t>contact@coinscan.com</t>
  </si>
  <si>
    <t>mailto:contact@coinscan.com</t>
  </si>
  <si>
    <t>Embed a one-click execution proof for new EVM pairs and let users share the replay URL.</t>
  </si>
  <si>
    <t>https://docs.coinscan.com/</t>
  </si>
  <si>
    <t>Small enough for founder-led decision; one of the cleanest paid-pilot prospects.</t>
  </si>
  <si>
    <t>Maestro Bots</t>
  </si>
  <si>
    <t>Maestro</t>
  </si>
  <si>
    <t>Trading bot</t>
  </si>
  <si>
    <t>Automated sniping and cross-chain execution expose users directly to taxes, blocked sells, and route-specific failures.</t>
  </si>
  <si>
    <t>Direct on Ethereum; other chains/venues are paid adapters</t>
  </si>
  <si>
    <t>Founder/COO; Head of Product; Partnerships</t>
  </si>
  <si>
    <t>Official 24/7 support + X</t>
  </si>
  <si>
    <t>@MaestroBots</t>
  </si>
  <si>
    <t>https://x.com/MaestroBots</t>
  </si>
  <si>
    <t>Run Guard before a snipe or on demand; return PASS/BLOCKED, measured loss, and evidence without slowing every order.</t>
  </si>
  <si>
    <t>Medium</t>
  </si>
  <si>
    <t>https://www.maestrobots.com/</t>
  </si>
  <si>
    <t>Ask support to route a business-integration request; never send keys or wallet information.</t>
  </si>
  <si>
    <t>Unibot</t>
  </si>
  <si>
    <t>Unibot X</t>
  </si>
  <si>
    <t>Ethereum/Base/Arbitrum trading and token scan surfaces create a direct place for execution-verified risk.</t>
  </si>
  <si>
    <t>Direct: Ethereum; Base/Arbitrum adapter by pilot</t>
  </si>
  <si>
    <t>CTO; Product Lead; Partnerships</t>
  </si>
  <si>
    <t>Official X DM + in-product Telegram support</t>
  </si>
  <si>
    <t>@TeamUnibot</t>
  </si>
  <si>
    <t>https://x.com/TeamUnibot</t>
  </si>
  <si>
    <t>Use Guard as a pre-trade second opinion for tokens whose scan is uncertain or whose route recently failed.</t>
  </si>
  <si>
    <t>https://unibot.app/</t>
  </si>
  <si>
    <t>Reference the current token-scan feature and prior router-security sensitivity; keep the tone technical.</t>
  </si>
  <si>
    <t>BANANAGUN LTD</t>
  </si>
  <si>
    <t>Banana Gun</t>
  </si>
  <si>
    <t>Snipe and swap users need immediate evidence that a token can be sold under current state and route conditions.</t>
  </si>
  <si>
    <t>Direct: Ethereum; Base/Blast adapters by pilot</t>
  </si>
  <si>
    <t>Founder; Product/Security Lead; Partnerships</t>
  </si>
  <si>
    <t>Official X/LinkedIn company page</t>
  </si>
  <si>
    <t>@BananaGunBot</t>
  </si>
  <si>
    <t>https://x.com/BananaGunBot</t>
  </si>
  <si>
    <t>Add execution proof to the existing 'safe trade' promise: tested route, observed loss, and replay when blocked.</t>
  </si>
  <si>
    <t>https://www.linkedin.com/company/bananagunbot</t>
  </si>
  <si>
    <t>Legal email is published but is not the right first sales route.</t>
  </si>
  <si>
    <t>BullX</t>
  </si>
  <si>
    <t>BullX Turbo / BullX</t>
  </si>
  <si>
    <t>Trading terminal</t>
  </si>
  <si>
    <t>Multichain token discovery and fast execution make failed sells and hidden loss directly relevant to retention and trust.</t>
  </si>
  <si>
    <t>Requires BullX EVM route adapter</t>
  </si>
  <si>
    <t>Founder; Head of Product; Partnerships</t>
  </si>
  <si>
    <t>Official X DM + Discord linked from product</t>
  </si>
  <si>
    <t>@bullx_io</t>
  </si>
  <si>
    <t>https://x.com/bullx_io</t>
  </si>
  <si>
    <t>Pilot Guard on BullX Turbo for one EVM chain; only deep-simulate failures or user-requested explanations.</t>
  </si>
  <si>
    <t>https://bullx.io/</t>
  </si>
  <si>
    <t>Confirm the current EVM venue before finalizing acceptance criteria.</t>
  </si>
  <si>
    <t>GMGN</t>
  </si>
  <si>
    <t>GMGN.AI</t>
  </si>
  <si>
    <t>GMGN already audits token risk and executes trades across Ethereum, Base, and BSC; replayable evidence is the differentiator.</t>
  </si>
  <si>
    <t>Direct concept; venue-specific adapter required</t>
  </si>
  <si>
    <t>Head of Product; Security Product; Partnerships</t>
  </si>
  <si>
    <t>Official Telegram or X</t>
  </si>
  <si>
    <t>t.me/gmgnai | @gmgnai</t>
  </si>
  <si>
    <t>https://t.me/gmgnai</t>
  </si>
  <si>
    <t>Do not replace GMGN's audit. Add an 'execution verified' result for contested tokens and high-value orders.</t>
  </si>
  <si>
    <t>https://gmgn.ai/</t>
  </si>
  <si>
    <t>https://gmgn.ai/static/tos.html</t>
  </si>
  <si>
    <t>Strong need but meaningful overlap; insist on paid evaluation or data partnership terms.</t>
  </si>
  <si>
    <t>Tiny Astro</t>
  </si>
  <si>
    <t>Photon</t>
  </si>
  <si>
    <t>Fast token discovery and trading exposes the exact new-token uncertainty Guard measures.</t>
  </si>
  <si>
    <t>Ethereum version is adjacent; confirm current route</t>
  </si>
  <si>
    <t>Official X DM</t>
  </si>
  <si>
    <t>@tradewithPhoton</t>
  </si>
  <si>
    <t>https://x.com/tradewithPhoton</t>
  </si>
  <si>
    <t>Offer a one-chain pilot that shows observed round-trip loss and a replay link before users size up a trade.</t>
  </si>
  <si>
    <t>https://photon-sol.tinyastro.io/</t>
  </si>
  <si>
    <t>Lead with the EVM product, not the better-known Solana surface.</t>
  </si>
  <si>
    <t>Clanker</t>
  </si>
  <si>
    <t>Token launch platform</t>
  </si>
  <si>
    <t>A launch protocol can publish execution-verified sellability immediately after pool creation.</t>
  </si>
  <si>
    <t>Requires Base/Clanker pool adapter</t>
  </si>
  <si>
    <t>Core team; Protocol/Product Lead</t>
  </si>
  <si>
    <t>Official project email + Farcaster/X</t>
  </si>
  <si>
    <t>intern@clanker.world</t>
  </si>
  <si>
    <t>mailto:intern@clanker.world</t>
  </si>
  <si>
    <t>Make 'Guard verified at block X' an optional launch badge and evidence page for every new Base token.</t>
  </si>
  <si>
    <t>https://clanker.world/docs</t>
  </si>
  <si>
    <t>https://clanker.world/clanker/0xa1888e697da3aeac839398408922db6fc0728b07</t>
  </si>
  <si>
    <t>Excellent design partner if it will fund Base and its current pool mechanics.</t>
  </si>
  <si>
    <t>TrustSwap Inc.</t>
  </si>
  <si>
    <t>Team.Finance</t>
  </si>
  <si>
    <t>Token infrastructure</t>
  </si>
  <si>
    <t>Token creation, locks, vesting, and white-label services create a natural verification checkpoint before a project goes live.</t>
  </si>
  <si>
    <t>Requires buyer-selected chain/venue adapter</t>
  </si>
  <si>
    <t>Business Development &amp; Partnerships Manager</t>
  </si>
  <si>
    <t>Sales email or schedule-a-call form</t>
  </si>
  <si>
    <t>info@team.finance</t>
  </si>
  <si>
    <t>mailto:info@team.finance</t>
  </si>
  <si>
    <t>Add an optional post-launch Guard certificate: exact pool, exact block, observed sell result, and replay bundle.</t>
  </si>
  <si>
    <t>https://www.team.finance/</t>
  </si>
  <si>
    <t>https://www.team.finance/contact</t>
  </si>
  <si>
    <t>Official page names two BD/partnership managers; route directly to that team.</t>
  </si>
  <si>
    <t>DxSale Network</t>
  </si>
  <si>
    <t>DxSale</t>
  </si>
  <si>
    <t>Projects mint, launch, and lock liquidity on one platform; verified trade execution can be a paid launch add-on.</t>
  </si>
  <si>
    <t>Likely requires BNB/EVM venue adapter</t>
  </si>
  <si>
    <t>Founder; Product Lead</t>
  </si>
  <si>
    <t>Founder email from official docs</t>
  </si>
  <si>
    <t>dennis@dxsale.network</t>
  </si>
  <si>
    <t>mailto:dennis@dxsale.network</t>
  </si>
  <si>
    <t>Offer execution verification as an optional launch-package certificate, not investment approval.</t>
  </si>
  <si>
    <t>https://docs.dxsale.network/what-is-dxsale/readme</t>
  </si>
  <si>
    <t>https://docs.dxsale.network/what-is-dxsale/team-contact-us</t>
  </si>
  <si>
    <t>Define the liability language carefully: observed test, not warranty or endorsement.</t>
  </si>
  <si>
    <t>PinkSale</t>
  </si>
  <si>
    <t>High-volume permissionless launches need a visible, objective post-launch trade test to separate functioning pools from blocked sells.</t>
  </si>
  <si>
    <t>Requires buyer-selected BNB/EVM venue adapter</t>
  </si>
  <si>
    <t>LinkedIn company message; official community link from site</t>
  </si>
  <si>
    <t>PinkSale company page</t>
  </si>
  <si>
    <t>https://www.linkedin.com/company/pinksale</t>
  </si>
  <si>
    <t>Sell an optional 'execution-verified launch' badge with pinned evidence and automatic retest after contract changes.</t>
  </si>
  <si>
    <t>https://www.pinksale.finance/</t>
  </si>
  <si>
    <t>No guessed email; request the product/partnership owner through the official page.</t>
  </si>
  <si>
    <t>OpenOcean</t>
  </si>
  <si>
    <t>Swap infrastructure</t>
  </si>
  <si>
    <t>Wallets and bots already integrate its API; adding execution-risk evidence to routes could reduce bad-token trades and support incidents.</t>
  </si>
  <si>
    <t>Requires OpenOcean quote/router adapter</t>
  </si>
  <si>
    <t>API Business Development; Head of Product</t>
  </si>
  <si>
    <t>Official support email + API BD form/group</t>
  </si>
  <si>
    <t>support@openocean.finance</t>
  </si>
  <si>
    <t>mailto:support@openocean.finance</t>
  </si>
  <si>
    <t>Return an optional Guard risk object with the quote: sell test, observed loss, evidence URL, and freshness block.</t>
  </si>
  <si>
    <t>https://docs.openocean.finance/</t>
  </si>
  <si>
    <t>https://docs.openocean.finance/docs/swap-api/api-pricing-and-access</t>
  </si>
  <si>
    <t>Ask support to route to API BD; start with one EVM chain and one route family.</t>
  </si>
  <si>
    <t>LI.FI</t>
  </si>
  <si>
    <t>LI.FI / Jumper</t>
  </si>
  <si>
    <t>A single integration powers hundreds of wallets and apps, making it a high-leverage distribution partner for route-aware token risk.</t>
  </si>
  <si>
    <t>Requires LI.FI route adapter; larger integration surface</t>
  </si>
  <si>
    <t>Head of DeFi Sales; Product Partnerships</t>
  </si>
  <si>
    <t>Official partnership form</t>
  </si>
  <si>
    <t>Integration partnership request</t>
  </si>
  <si>
    <t>https://li.fi/contact-us</t>
  </si>
  <si>
    <t>Add execution-verified token risk as an opt-in preflight or quote metadata service for integrators.</t>
  </si>
  <si>
    <t>https://li.fi/</t>
  </si>
  <si>
    <t>https://docs.li.fi/introduction/integrating-lifi/partnership-opportunities</t>
  </si>
  <si>
    <t>Strong leverage, but sell a bounded proof integration rather than a platform-wide commitment.</t>
  </si>
  <si>
    <t>Rainbow Studio, Inc.</t>
  </si>
  <si>
    <t>Rainbow</t>
  </si>
  <si>
    <t>Wallet</t>
  </si>
  <si>
    <t>Ethereum-native wallet with swaps and developer surfaces; Guard can create a human-readable pre-swap evidence step.</t>
  </si>
  <si>
    <t>Direct Ethereum concept; integrate after quote selection</t>
  </si>
  <si>
    <t>Head of Product; Wallet Security; Partnerships</t>
  </si>
  <si>
    <t>Product email + LinkedIn role follow-up</t>
  </si>
  <si>
    <t>hello@rainbow.me</t>
  </si>
  <si>
    <t>mailto:hello@rainbow.me</t>
  </si>
  <si>
    <t>Test Guard as an 'Explain token risk' action on obscure ERC-20 swaps, not as a blocking default.</t>
  </si>
  <si>
    <t>https://rainbow.me/developers</t>
  </si>
  <si>
    <t>https://play.google.com/store/apps/details?id=me.rainbow</t>
  </si>
  <si>
    <t>One of the better wallet targets because Ethereum is central and the team is smaller than MetaMask/Coinbase.</t>
  </si>
  <si>
    <t>Zerion</t>
  </si>
  <si>
    <t>Zerion Wallet / API</t>
  </si>
  <si>
    <t>Wallet + data API</t>
  </si>
  <si>
    <t>Zerion sells wallet infrastructure and operates its own wallet, offering both a buyer and a distribution channel.</t>
  </si>
  <si>
    <t>Direct concept; route integration required</t>
  </si>
  <si>
    <t>Head of Product; API Partnerships; Wallet Security</t>
  </si>
  <si>
    <t>Official API contact-sales form</t>
  </si>
  <si>
    <t>Contact sales</t>
  </si>
  <si>
    <t>https://zerion.io/api/</t>
  </si>
  <si>
    <t>Pilot an execution-evidence endpoint beside token and wallet data for new or disputed ERC-20 assets.</t>
  </si>
  <si>
    <t>Pitch Guard as a new data primitive their API customers can consume.</t>
  </si>
  <si>
    <t>DeBank</t>
  </si>
  <si>
    <t>Rabby Wallet</t>
  </si>
  <si>
    <t>Rabby is EVM-first and already emphasizes transaction safety; pool-specific token execution evidence extends that positioning.</t>
  </si>
  <si>
    <t>Direct EVM concept; swap integration required</t>
  </si>
  <si>
    <t>Wallet Product; Security Engineering; Business Development</t>
  </si>
  <si>
    <t>Support email, then LinkedIn role follow-up</t>
  </si>
  <si>
    <t>support@rabby.io</t>
  </si>
  <si>
    <t>mailto:support@rabby.io</t>
  </si>
  <si>
    <t>Add an on-demand 'test the round trip' action for unknown tokens and show the exact rollback frame when it fails.</t>
  </si>
  <si>
    <t>https://rabby.io/</t>
  </si>
  <si>
    <t>https://rabby.io/docs/privacy</t>
  </si>
  <si>
    <t>Support is a routing path, not the buyer; ask explicitly for product partnerships or wallet security.</t>
  </si>
  <si>
    <t>TP Global Ltd</t>
  </si>
  <si>
    <t>TokenPocket</t>
  </si>
  <si>
    <t>TokenPocket already exposes Token Security and Approval Detector tools, so Guard supplies a differentiated execution result.</t>
  </si>
  <si>
    <t>Direct EVM concept; venue adapter required</t>
  </si>
  <si>
    <t>Business Development; Wallet Security Product</t>
  </si>
  <si>
    <t>Published business-collaboration email</t>
  </si>
  <si>
    <t>bd@tokenpocket.pro</t>
  </si>
  <si>
    <t>mailto:bd@tokenpocket.pro</t>
  </si>
  <si>
    <t>Embed Guard under Token Security as a live execution proof, clearly separated from static contract analysis.</t>
  </si>
  <si>
    <t>https://www.tokenpocket.pro/en/about</t>
  </si>
  <si>
    <t>Strong contactability and explicit existing security surface.</t>
  </si>
  <si>
    <t>CoinGecko</t>
  </si>
  <si>
    <t>GeckoTerminal</t>
  </si>
  <si>
    <t>Token analytics</t>
  </si>
  <si>
    <t>Large DEX discovery surface and API distribution; a replayable verification link can complement existing security feeds.</t>
  </si>
  <si>
    <t>GeckoTerminal Product; API Partnerships</t>
  </si>
  <si>
    <t>CoinGecko support ticket + official Telegram/X</t>
  </si>
  <si>
    <t>support ticket | @geckoterminal</t>
  </si>
  <si>
    <t>https://support.coingecko.com/hc/en-us/requests/new</t>
  </si>
  <si>
    <t>Run Guard only for trending/disputed EVM tokens and publish a freshness-block evidence link beside current risk data.</t>
  </si>
  <si>
    <t>https://docs.coingecko.com/</t>
  </si>
  <si>
    <t>https://www.geckoterminal.com/ad-policy</t>
  </si>
  <si>
    <t>Existing security feeds create overlap; emphasize reproducibility and measured round-trip outcome.</t>
  </si>
  <si>
    <t>DEX Screener, Inc.</t>
  </si>
  <si>
    <t>DEX Screener</t>
  </si>
  <si>
    <t>Mass-market token discovery and existing security integrations make it a strategic validation target.</t>
  </si>
  <si>
    <t>Direct concept; production scale not current</t>
  </si>
  <si>
    <t>Product Partnerships; API/Product Lead</t>
  </si>
  <si>
    <t>Official Partnerships link in docs</t>
  </si>
  <si>
    <t>Partnerships form</t>
  </si>
  <si>
    <t>https://docs.dexscreener.com/</t>
  </si>
  <si>
    <t>Offer Guard as a clickable execution evidence layer for edge cases, not a replacement for GoPlus/Quick Intel.</t>
  </si>
  <si>
    <t>https://docs.dexscreener.com/api/reference</t>
  </si>
  <si>
    <t>High-value logo but likely slower and already served by competitors; do not over-invest before a live response.</t>
  </si>
  <si>
    <t>AVE AI Data Technology</t>
  </si>
  <si>
    <t>Ave.ai</t>
  </si>
  <si>
    <t>Trading analytics + wallet</t>
  </si>
  <si>
    <t>Ave already offers a token 'Check' function, trading aggregation, and developer APIs, creating a precise complementary evidence slot.</t>
  </si>
  <si>
    <t>Requires chosen EVM chain/router adapter</t>
  </si>
  <si>
    <t>Business Development; API Product</t>
  </si>
  <si>
    <t>Published ecosystem-program email</t>
  </si>
  <si>
    <t>AveBusiness100@ave.ai</t>
  </si>
  <si>
    <t>mailto:AveBusiness100@ave.ai</t>
  </si>
  <si>
    <t>Add execution-verified results to Ave Check for EVM tokens when static indicators are ambiguous.</t>
  </si>
  <si>
    <t>https://docs.ave.ai/</t>
  </si>
  <si>
    <t>https://doc.ave.ai/tutorial/ave.ai-ecosystem-program</t>
  </si>
  <si>
    <t>Pitch a scoped data partnership; their existing Check feature means direct feature overlap.</t>
  </si>
  <si>
    <t>Wings Lab Pte. Ltd.</t>
  </si>
  <si>
    <t>Birdeye Data</t>
  </si>
  <si>
    <t>Crypto data API</t>
  </si>
  <si>
    <t>Birdeye sells high-volume token data and transaction simulation; Guard's value is the standardized round trip plus evidence bundle.</t>
  </si>
  <si>
    <t>Requires target EVM venue adapter</t>
  </si>
  <si>
    <t>API Product; Partnerships; Sales Engineering</t>
  </si>
  <si>
    <t>Official sales/support form</t>
  </si>
  <si>
    <t>Select sales/partnership reason</t>
  </si>
  <si>
    <t>https://birdeye.so/data-api/contact</t>
  </si>
  <si>
    <t>Pilot Guard as a premium endpoint for token sellability and round-trip loss with pinned reproducibility metadata.</t>
  </si>
  <si>
    <t>https://birdeye.so/data-api</t>
  </si>
  <si>
    <t>They already list transaction simulation; sell the scenario contract and evidence format, not generic simulation.</t>
  </si>
  <si>
    <t>Socket</t>
  </si>
  <si>
    <t>Socket / Bungee</t>
  </si>
  <si>
    <t>Cross-chain routes can deliver users into risky destination tokens; Guard can preflight the destination-side swap.</t>
  </si>
  <si>
    <t>Requires Socket route adapter</t>
  </si>
  <si>
    <t>Product Partnerships; Developer Relations; Security</t>
  </si>
  <si>
    <t>Published company email</t>
  </si>
  <si>
    <t>contact@socket.tech</t>
  </si>
  <si>
    <t>mailto:contact@socket.tech</t>
  </si>
  <si>
    <t>Add an optional destination-token execution check to Bungee routes, with a clear freshness block and replay link.</t>
  </si>
  <si>
    <t>https://www.socket.tech/</t>
  </si>
  <si>
    <t>Keep the pilot destination-chain-only to avoid cross-chain state explosion.</t>
  </si>
  <si>
    <t>thirdweb</t>
  </si>
  <si>
    <t>Developer infrastructure</t>
  </si>
  <si>
    <t>Wallet, token, transaction, and API products could distribute Guard to many builders if packaged as a developer primitive.</t>
  </si>
  <si>
    <t>Requires productized endpoint and one venue adapter</t>
  </si>
  <si>
    <t>Product Partnerships; Head of Transactions/Wallets</t>
  </si>
  <si>
    <t>Official contact-sales form</t>
  </si>
  <si>
    <t>Contact form</t>
  </si>
  <si>
    <t>https://thirdweb.com/contact-us</t>
  </si>
  <si>
    <t>Offer a Guard preflight component for apps launching or trading ERC-20s through thirdweb infrastructure.</t>
  </si>
  <si>
    <t>https://thirdweb.com/</t>
  </si>
  <si>
    <t>High distribution potential, but only after a buyer validates the endpoint shape.</t>
  </si>
  <si>
    <t>Second wave</t>
  </si>
  <si>
    <t>SafePal</t>
  </si>
  <si>
    <t>SafePal Wallet</t>
  </si>
  <si>
    <t>Wallet, swap, and token-submission surfaces can embed Guard, but the organization is larger and procurement is likely slower.</t>
  </si>
  <si>
    <t>Requires wallet/swap integration</t>
  </si>
  <si>
    <t>Wallet Product; Business Development; Security</t>
  </si>
  <si>
    <t>Partner/contact form + marketing email</t>
  </si>
  <si>
    <t>marketing@safepal.com</t>
  </si>
  <si>
    <t>https://www.safepal.com/about/contact</t>
  </si>
  <si>
    <t>Offer on-demand execution proof for newly submitted EVM tokens before users swap.</t>
  </si>
  <si>
    <t>https://www.safepal.com/</t>
  </si>
  <si>
    <t>Use partner/contact form first; marketing email can route the request.</t>
  </si>
  <si>
    <t>DApps Platform / Trust Wallet</t>
  </si>
  <si>
    <t>Trust Wallet</t>
  </si>
  <si>
    <t>Large swap wallet with explicit partnerships function, but enterprise review and liability concerns raise sales-cycle length.</t>
  </si>
  <si>
    <t>Requires wallet route integration and production controls</t>
  </si>
  <si>
    <t>Senior Business Development; Wallet Security Product</t>
  </si>
  <si>
    <t>Published partnerships email</t>
  </si>
  <si>
    <t>partnerships@trustwallet.com</t>
  </si>
  <si>
    <t>mailto:partnerships@trustwallet.com</t>
  </si>
  <si>
    <t>Propose a limited second-opinion pilot for unknown EVM tokens, not a default hard-blocking control.</t>
  </si>
  <si>
    <t>https://trustwallet.com/</t>
  </si>
  <si>
    <t>https://trustwallet.com/blog/company/introducing-trust-wallet-waas-powering-decentralized-services-for-every-business</t>
  </si>
  <si>
    <t>Good logo; avoid spending build time until they assign a technical owner.</t>
  </si>
  <si>
    <t>0x Labs</t>
  </si>
  <si>
    <t>0x / Matcha</t>
  </si>
  <si>
    <t>0x already supports buy/sell tax and secure routing; Guard would need to prove unique value as post-quote evidence or dispute adjudication.</t>
  </si>
  <si>
    <t>Requires 0x quote/router adapter</t>
  </si>
  <si>
    <t>Swap API Product; Partnerships; Security</t>
  </si>
  <si>
    <t>0x business/dashboard contact route</t>
  </si>
  <si>
    <t>Contact sales through 0x</t>
  </si>
  <si>
    <t>https://0x.org/</t>
  </si>
  <si>
    <t>Offer replayable evidence for tax/failed-sell edge cases that quote-time metadata cannot fully explain.</t>
  </si>
  <si>
    <t>https://0x.org/products/swap</t>
  </si>
  <si>
    <t>Strong overlap and mature engineering; require a specific gap from them before building.</t>
  </si>
  <si>
    <t>1inch</t>
  </si>
  <si>
    <t>1inch Business</t>
  </si>
  <si>
    <t>Enterprise API surface and wallet distribution are valuable, but 1inch already owns simulation/routing context and is a longer-cycle buyer.</t>
  </si>
  <si>
    <t>Requires 1inch route adapter</t>
  </si>
  <si>
    <t>Enterprise API Product; Partnerships</t>
  </si>
  <si>
    <t>Enterprise contact-sales form or API email</t>
  </si>
  <si>
    <t>api@1inch.dev</t>
  </si>
  <si>
    <t>mailto:api@1inch.dev</t>
  </si>
  <si>
    <t>Position Guard as independent, replayable evidence for suspicious-token routes and customer-support disputes.</t>
  </si>
  <si>
    <t>https://business.1inch.com/</t>
  </si>
  <si>
    <t>https://business.1inch.com/enterprise</t>
  </si>
  <si>
    <t>Second wave because the integration must complement an advanced existing stack.</t>
  </si>
  <si>
    <t>Quick Intel</t>
  </si>
  <si>
    <t>Token security</t>
  </si>
  <si>
    <t>Direct market overlap, but Guard's evidence bundles could be a premium verification layer for inconclusive scans.</t>
  </si>
  <si>
    <t>Direct overlap on EVM</t>
  </si>
  <si>
    <t>Partnership Team; Product Lead</t>
  </si>
  <si>
    <t>Published partnership email</t>
  </si>
  <si>
    <t>partner@quickintel.io</t>
  </si>
  <si>
    <t>mailto:partner@quickintel.io</t>
  </si>
  <si>
    <t>Propose an evidence-backed escalation product: Quick Intel flags risk; Guard reproduces the trade and attaches replay evidence.</t>
  </si>
  <si>
    <t>https://quickintel.io/developers</t>
  </si>
  <si>
    <t>https://docs.quickintel.io/resources/support-and-team-contacts</t>
  </si>
  <si>
    <t>Do not disclose proprietary internals without pilot/NDA boundaries; they are both partner and competitor.</t>
  </si>
  <si>
    <t>Webacy</t>
  </si>
  <si>
    <t>Risk intelligence</t>
  </si>
  <si>
    <t>Webacy sells embedded security APIs and could use Guard as a deep-evidence option, but product overlap is material.</t>
  </si>
  <si>
    <t>Direct concept; integration/API productization required</t>
  </si>
  <si>
    <t>Founder; API Product; Partnerships</t>
  </si>
  <si>
    <t>Published API inquiry email</t>
  </si>
  <si>
    <t>info@webacy.com</t>
  </si>
  <si>
    <t>mailto:info@webacy.com</t>
  </si>
  <si>
    <t>Add a replayable execution evidence tier to Webacy's token/asset scoring for contested findings.</t>
  </si>
  <si>
    <t>https://www.webacy.com/</t>
  </si>
  <si>
    <t>https://docs.webacy.com/api-reference/introduction</t>
  </si>
  <si>
    <t>Potential reseller/data partner, not the first buyer to chase.</t>
  </si>
  <si>
    <t>Scam Sniffer</t>
  </si>
  <si>
    <t>Threat intelligence</t>
  </si>
  <si>
    <t>Primarily phishing and drainer intelligence; Guard is complementary but token-trade risk is not the core product.</t>
  </si>
  <si>
    <t>Adjacent; productized evidence endpoint required</t>
  </si>
  <si>
    <t>Founder; API/Product Partnerships</t>
  </si>
  <si>
    <t>API access form + LinkedIn company page</t>
  </si>
  <si>
    <t>Get API access</t>
  </si>
  <si>
    <t>https://www.scamsniffer.io/</t>
  </si>
  <si>
    <t>Use Guard as a separate token-execution evidence source when a malicious campaign points users to an unsellable token.</t>
  </si>
  <si>
    <t>https://www.linkedin.com/company/scamsniffer</t>
  </si>
  <si>
    <t>Useful channel partner; weaker direct paid-pilot need.</t>
  </si>
  <si>
    <t>GoPlus Labs</t>
  </si>
  <si>
    <t>GoPlus Security</t>
  </si>
  <si>
    <t>Major incumbent in token and transaction security; could integrate evidence but competitive conflict is very high.</t>
  </si>
  <si>
    <t>Ecosystem Partnerships; Security API Product</t>
  </si>
  <si>
    <t>Official developer/ecosystem channels</t>
  </si>
  <si>
    <t>Developer portal / ecosystem contact</t>
  </si>
  <si>
    <t>https://gopluslabs.io/en</t>
  </si>
  <si>
    <t>Pitch a narrow replay-evidence complement for cases where GoPlus wants independently reproducible execution proof.</t>
  </si>
  <si>
    <t>https://docs.gopluslabs.io/</t>
  </si>
  <si>
    <t>Do not treat interest as validation unless paid or tied to a concrete distribution agreement.</t>
  </si>
  <si>
    <t>Forta Foundation</t>
  </si>
  <si>
    <t>Forta</t>
  </si>
  <si>
    <t>Onchain security</t>
  </si>
  <si>
    <t>Forta focuses on monitoring and prevention; Guard could be a specialized agent/evidence source but is not a direct product fit.</t>
  </si>
  <si>
    <t>Adjacent; requires service/agent wrapper</t>
  </si>
  <si>
    <t>Ecosystem/Product Partnerships</t>
  </si>
  <si>
    <t>Official forum/Discord + LinkedIn company</t>
  </si>
  <si>
    <t>Forta community</t>
  </si>
  <si>
    <t>https://forta.org/</t>
  </si>
  <si>
    <t>Explore a Guard detection/evidence agent for tokens whose live trade behavior changes after launch.</t>
  </si>
  <si>
    <t>https://www.linkedin.com/company/fortafoundation</t>
  </si>
  <si>
    <t>Better partnership conversation after Guard has a stable API.</t>
  </si>
  <si>
    <t>Phantom Technologies</t>
  </si>
  <si>
    <t>Phantom</t>
  </si>
  <si>
    <t>Large wallet with EVM support and scam detection, but EVM token risk is not its only priority and procurement is slower.</t>
  </si>
  <si>
    <t>Requires wallet route integration</t>
  </si>
  <si>
    <t>Head of Business Development; Wallet Security</t>
  </si>
  <si>
    <t>Official support + LinkedIn role outreach</t>
  </si>
  <si>
    <t>Head of Business Development</t>
  </si>
  <si>
    <t>https://phantom.com/</t>
  </si>
  <si>
    <t>Offer an Ethereum/Base pilot for obscure-token swaps where existing scam detection lacks execution evidence.</t>
  </si>
  <si>
    <t>A verified Head of Business Development role exists; use role-based LinkedIn outreach, not guessed email.</t>
  </si>
  <si>
    <t>Hypernative</t>
  </si>
  <si>
    <t>Enterprise security</t>
  </si>
  <si>
    <t>Hypernative already sells independent transaction simulation and evidence-led prevention, making it a strategic comparator more than an early buyer.</t>
  </si>
  <si>
    <t>Direct conceptual overlap; enterprise requirements far exceed current service</t>
  </si>
  <si>
    <t>VP Partnerships; Chief Product Officer</t>
  </si>
  <si>
    <t>Official demo form + leadership LinkedIn</t>
  </si>
  <si>
    <t>Request demo / partnership conversation</t>
  </si>
  <si>
    <t>https://www.hypernative.io/book-a-demo</t>
  </si>
  <si>
    <t>Discuss Guard as token-specific execution intelligence or a data source, not as a broad transaction-security replacement.</t>
  </si>
  <si>
    <t>https://www.hypernative.io/product/fraud-prevention</t>
  </si>
  <si>
    <t>https://www.hypernative.io/about</t>
  </si>
  <si>
    <t>Important strategic interview; poor first paid-pilot target.</t>
  </si>
  <si>
    <t>Hacken</t>
  </si>
  <si>
    <t>Security services</t>
  </si>
  <si>
    <t>Could bundle Guard evidence into investigations or post-audit monitoring, but professional services sales cycles are longer.</t>
  </si>
  <si>
    <t>Adjacent; needs analyst workflow packaging</t>
  </si>
  <si>
    <t>Business Development &amp; Partnerships; Client Relations</t>
  </si>
  <si>
    <t>Apply for partnership</t>
  </si>
  <si>
    <t>https://hacken.io/partners/</t>
  </si>
  <si>
    <t>Offer a reproducible token-trade evidence package for investigations and post-audit validation.</t>
  </si>
  <si>
    <t>https://hacken.io/</t>
  </si>
  <si>
    <t>Potential reseller after evidence format and API stabilize.</t>
  </si>
  <si>
    <t>Cyvers</t>
  </si>
  <si>
    <t>Real-time fraud and threat prevention is adjacent; Guard's token scenario is narrower and likely complementary only as a data source.</t>
  </si>
  <si>
    <t>Adjacent; enterprise integration required</t>
  </si>
  <si>
    <t>Product Partnerships; Sales Engineering</t>
  </si>
  <si>
    <t>Official website demo/contact + LinkedIn</t>
  </si>
  <si>
    <t>Contact/demo request</t>
  </si>
  <si>
    <t>https://www.cyvers.ai/</t>
  </si>
  <si>
    <t>Explore a token execution-evidence feed for cases where behavioral detection identifies suspicious launches.</t>
  </si>
  <si>
    <t>Do not prioritize before direct buyer feedback from trading products.</t>
  </si>
  <si>
    <t>Consensys</t>
  </si>
  <si>
    <t>MetaMask</t>
  </si>
  <si>
    <t>Enormous distribution and developer reach, but mature security, legal, and procurement processes make it a poor first validation customer.</t>
  </si>
  <si>
    <t>Requires production API, broad chain coverage, and wallet integration</t>
  </si>
  <si>
    <t>MetaMask Product Partnerships; Security Product</t>
  </si>
  <si>
    <t>MetaMask Builder Hub / Consensys product contact</t>
  </si>
  <si>
    <t>Builder Hub</t>
  </si>
  <si>
    <t>https://metamask.io/developer</t>
  </si>
  <si>
    <t>After smaller pilots, propose an on-demand evidence Snap or platform API integration for obscure EVM tokens.</t>
  </si>
  <si>
    <t>https://metamask.io/news/metamask-builder-hub</t>
  </si>
  <si>
    <t>Strategic logo only; not proof of sell-before-build demand.</t>
  </si>
  <si>
    <t>Coinbase</t>
  </si>
  <si>
    <t>Coinbase Wallet / Base App</t>
  </si>
  <si>
    <t>Wallet + developer platform</t>
  </si>
  <si>
    <t>Strong Base distribution and partner program, but enterprise procurement and current scope make this a late-stage target.</t>
  </si>
  <si>
    <t>Requires Base adapter, production API, controls, and scale</t>
  </si>
  <si>
    <t>Wallet Product Partnerships; CDP Partner Network</t>
  </si>
  <si>
    <t>Official Wallet SDK partner application</t>
  </si>
  <si>
    <t>Apply to partner program</t>
  </si>
  <si>
    <t>https://www.coinbase.com/developer-platform/products/wallet-sdk</t>
  </si>
  <si>
    <t>After a Base design partner exists, propose execution-verified token evidence for Base App and CDP wallet builders.</t>
  </si>
  <si>
    <t>https://www.coinbase.com/developer-platform</t>
  </si>
  <si>
    <t>Do not approach first; obtain Clanker or another Base proof case before Coinbase.</t>
  </si>
  <si>
    <t>Guard Outreach Plays — What to Say and What to Ask For</t>
  </si>
  <si>
    <t>Objective: sell a tightly scoped paid design-partner pilot before production build. Lead with proof from the current prototype, disclose the current Ethereum/Uniswap V2 boundary, and let the buyer fund the next chain or venue adapter.</t>
  </si>
  <si>
    <t>Lead sentence</t>
  </si>
  <si>
    <t>Proof to attach</t>
  </si>
  <si>
    <t>Specific ask</t>
  </si>
  <si>
    <t>Buyer benefit</t>
  </si>
  <si>
    <t>Do not claim</t>
  </si>
  <si>
    <t>Trading bot / terminal</t>
  </si>
  <si>
    <t>You already help users find and execute new-token trades. Guard can test whether the token can be sold under pinned state before the user sizes up.</t>
  </si>
  <si>
    <t>Blocked-sell replay + measured-loss example</t>
  </si>
  <si>
    <t>20-minute technical review; $2,500 one-chain pilot</t>
  </si>
  <si>
    <t>Fewer failed trades, fewer disputes, visible proof</t>
  </si>
  <si>
    <t>Do not say Guard guarantees safety or catches every honeypot.</t>
  </si>
  <si>
    <t>Your users already see scores and flags. Guard adds the missing evidence: the exact trade scenario, outcome, block, and replay.</t>
  </si>
  <si>
    <t>Side-by-side scanner disagreement example</t>
  </si>
  <si>
    <t>Pilot an 'execution verified' card on selected EVM tokens</t>
  </si>
  <si>
    <t>Differentiated trust layer and shareable results</t>
  </si>
  <si>
    <t>Do not say competitors only use databases; several simulate.</t>
  </si>
  <si>
    <t>Before a user signs an obscure-token swap, Guard can run an on-demand round trip and explain the observed failure without becoming a default hard blocker.</t>
  </si>
  <si>
    <t>Normal trade + blocked trade UI mock</t>
  </si>
  <si>
    <t>Pilot the 'Explain token risk' action on one chain</t>
  </si>
  <si>
    <t>User protection without slowing every transaction</t>
  </si>
  <si>
    <t>Do not promise sub-second production latency today.</t>
  </si>
  <si>
    <t>Launch platform</t>
  </si>
  <si>
    <t>You can verify a token's actual sell path immediately after launch and publish the pinned evidence beside the project.</t>
  </si>
  <si>
    <t>Launch badge mock + evidence bundle</t>
  </si>
  <si>
    <t>Paid adapter for the platform's primary chain/DEX</t>
  </si>
  <si>
    <t>Premium launch add-on and reduced reputational risk</t>
  </si>
  <si>
    <t>Do not call the badge an audit, endorsement, or warranty.</t>
  </si>
  <si>
    <t>Swap / routing API</t>
  </si>
  <si>
    <t>After your router selects a path, Guard can return optional risk metadata: observed sell result, round-trip loss, evidence URL, and freshness block.</t>
  </si>
  <si>
    <t>Mock quote response with guard object</t>
  </si>
  <si>
    <t>One route family, one chain, one integration endpoint</t>
  </si>
  <si>
    <t>Fewer toxic-token routes and better support evidence</t>
  </si>
  <si>
    <t>Do not offer broad multi-chain coverage before it is funded.</t>
  </si>
  <si>
    <t>Security provider</t>
  </si>
  <si>
    <t>Use Guard as an adjudication/evidence layer when your risk engine flags an asset or scanners disagree.</t>
  </si>
  <si>
    <t>Replayable failure bundle</t>
  </si>
  <si>
    <t>Paid data partnership or escalation workflow</t>
  </si>
  <si>
    <t>Higher-confidence cases and defensible evidence</t>
  </si>
  <si>
    <t>Do not hand over proprietary implementation without commercial terms.</t>
  </si>
  <si>
    <t>Recommended pilot offer</t>
  </si>
  <si>
    <t>Price</t>
  </si>
  <si>
    <t>$2,500 total; $1,250 non-refundable deposit credited to delivery</t>
  </si>
  <si>
    <t>Term</t>
  </si>
  <si>
    <t>60 days</t>
  </si>
  <si>
    <t>Scope</t>
  </si>
  <si>
    <t>One chain, one venue/router, BUY→APPROVE→SELL, measured loss, evidence bundle, one integration endpoint</t>
  </si>
  <si>
    <t>Acceptance</t>
  </si>
  <si>
    <t>Named test cases, response contract, evidence fields, and latency target agreed before payment</t>
  </si>
  <si>
    <t>Boundary</t>
  </si>
  <si>
    <t>Observed execution result at pinned state—not an audit, guarantee, or universal honeypot verdict</t>
  </si>
  <si>
    <t>Commercial hook</t>
  </si>
  <si>
    <t>Pilot payment credited toward a production agreement if both parties continue</t>
  </si>
  <si>
    <t>Four-touch cadence</t>
  </si>
  <si>
    <t>Timing</t>
  </si>
  <si>
    <t>Channel</t>
  </si>
  <si>
    <t>Purpose</t>
  </si>
  <si>
    <t>Send</t>
  </si>
  <si>
    <t>Success signal</t>
  </si>
  <si>
    <t>Stop condition</t>
  </si>
  <si>
    <t>Day 0</t>
  </si>
  <si>
    <t>Email or official DM</t>
  </si>
  <si>
    <t>Earn the technical review</t>
  </si>
  <si>
    <t>90-word message + one proof link</t>
  </si>
  <si>
    <t>Correct owner introduced or meeting offered</t>
  </si>
  <si>
    <t>No attachments larger than one page</t>
  </si>
  <si>
    <t>Day 2</t>
  </si>
  <si>
    <t>LinkedIn/X role follow-up</t>
  </si>
  <si>
    <t>Route to buyer</t>
  </si>
  <si>
    <t>One sentence referencing Day 0</t>
  </si>
  <si>
    <t>Named product/security owner</t>
  </si>
  <si>
    <t>Do not paste full pitch again</t>
  </si>
  <si>
    <t>Day 6</t>
  </si>
  <si>
    <t>Email/DM</t>
  </si>
  <si>
    <t>Create urgency with evidence</t>
  </si>
  <si>
    <t>New blocked/high-loss example relevant to their product</t>
  </si>
  <si>
    <t>Technical questions or data request</t>
  </si>
  <si>
    <t>If generic praise only, ask directly about paid pilot</t>
  </si>
  <si>
    <t>Day 12</t>
  </si>
  <si>
    <t>Email</t>
  </si>
  <si>
    <t>Close the loop</t>
  </si>
  <si>
    <t>Specific $2,500 pilot and two time slots</t>
  </si>
  <si>
    <t>Pricing discussion or clear no</t>
  </si>
  <si>
    <t>No response: move to second wave</t>
  </si>
  <si>
    <t>Initial message template</t>
  </si>
  <si>
    <t>Subject: Can Guard verify the trade before your user makes it?
[Company] already helps users [discover/launch/route] new tokens. Guard adds a different kind of risk evidence: it runs a standardized BUY→APPROVE→SELL scenario against pinned EVM state, reports the observed round-trip loss or blocked sell, and produces a replayable evidence bundle.
The current prototype is proven on Ethereum/Uniswap V2. I am looking for one design partner to fund a 60-day, one-chain/one-venue integration—not asking you to buy an unfinished broad platform.
Would you give me 20 minutes to show the blocked-sell replay and decide whether a $2,500 pilot solves a real problem for [product]?
Erick Turner
Sounder Solutions LLC</t>
  </si>
  <si>
    <t>Scoring, Decision Rules, and Research Notes</t>
  </si>
  <si>
    <t>Criterion</t>
  </si>
  <si>
    <t>Weight</t>
  </si>
  <si>
    <t>0</t>
  </si>
  <si>
    <t>3</t>
  </si>
  <si>
    <t>5</t>
  </si>
  <si>
    <t>Product fit</t>
  </si>
  <si>
    <t>No natural Guard surface</t>
  </si>
  <si>
    <t>Adjacent workflow</t>
  </si>
  <si>
    <t>Direct token discovery/trade/launch surface</t>
  </si>
  <si>
    <t>Does the product have a place to use the result?</t>
  </si>
  <si>
    <t>Urgency</t>
  </si>
  <si>
    <t>No visible pain</t>
  </si>
  <si>
    <t>General security need</t>
  </si>
  <si>
    <t>Direct exposure to new-token trade failure</t>
  </si>
  <si>
    <t>Will the problem command attention now?</t>
  </si>
  <si>
    <t>Contactability</t>
  </si>
  <si>
    <t>No verified route</t>
  </si>
  <si>
    <t>Official support/community only</t>
  </si>
  <si>
    <t>Published business/partnership route</t>
  </si>
  <si>
    <t>Can Erick reach a decision owner cheaply?</t>
  </si>
  <si>
    <t>Pilot simplicity</t>
  </si>
  <si>
    <t>Requires broad platform build</t>
  </si>
  <si>
    <t>One adapter plus endpoint</t>
  </si>
  <si>
    <t>Current proof maps closely</t>
  </si>
  <si>
    <t>Can one customer fund a bounded build?</t>
  </si>
  <si>
    <t>Competitive conflict</t>
  </si>
  <si>
    <t>No overlap</t>
  </si>
  <si>
    <t>Some overlapping risk data</t>
  </si>
  <si>
    <t>Direct scanner/simulation competitor</t>
  </si>
  <si>
    <t>Will they buy, or only learn from us?</t>
  </si>
  <si>
    <t>Formula: Fit×7 + Urgency×5 + Contactability×4 + Pilot simplicity×4 − Competitive conflict×2</t>
  </si>
  <si>
    <t>Decision rule</t>
  </si>
  <si>
    <t>Meaning</t>
  </si>
  <si>
    <t>Action</t>
  </si>
  <si>
    <t>Metric</t>
  </si>
  <si>
    <t>Threshold</t>
  </si>
  <si>
    <t>Money &gt; interest</t>
  </si>
  <si>
    <t>Compliments and LOIs do not validate willingness to pay</t>
  </si>
  <si>
    <t>Ask for deposit after technical fit is confirmed</t>
  </si>
  <si>
    <t>Paid pilots</t>
  </si>
  <si>
    <t>One paid pilot authorizes only the contracted build</t>
  </si>
  <si>
    <t>Five batches</t>
  </si>
  <si>
    <t>Avoid burning the whole market with one weak message</t>
  </si>
  <si>
    <t>Send 5, learn, revise, repeat</t>
  </si>
  <si>
    <t>Substantive replies</t>
  </si>
  <si>
    <t>A substantive reply includes a buyer, technical question, or meeting</t>
  </si>
  <si>
    <t>Two follow-ups</t>
  </si>
  <si>
    <t>Most first messages will be missed</t>
  </si>
  <si>
    <t>Follow on Day 2 and Day 6; close Day 12</t>
  </si>
  <si>
    <t>Touches per account</t>
  </si>
  <si>
    <t>Stop after final close-the-loop unless invited</t>
  </si>
  <si>
    <t>No speculative build</t>
  </si>
  <si>
    <t>Buyer selects the next chain, venue, and endpoint</t>
  </si>
  <si>
    <t>No production work before deposit</t>
  </si>
  <si>
    <t>Unfunded build hours</t>
  </si>
  <si>
    <t>Demo packaging is allowed; platform build is not</t>
  </si>
  <si>
    <t>Kill/revise gate</t>
  </si>
  <si>
    <t>Poor response means offer/segment is wrong</t>
  </si>
  <si>
    <t>Revise after First 25 before Second 15</t>
  </si>
  <si>
    <t>Pricing discussions</t>
  </si>
  <si>
    <t>Zero pricing discussions is a failed first-wave offer</t>
  </si>
  <si>
    <t>Research limitations</t>
  </si>
  <si>
    <t>Official community channels can be impersonated. Start from the exact website or documented handle in the row.</t>
  </si>
  <si>
    <t>Some crypto companies publish support/community routes rather than a sales email; these rows have Medium contact confidence.</t>
  </si>
  <si>
    <t>Guard's present proof is Ethereum/Uniswap V2. Base, BNB Chain, V3, aggregators, and wallet routes must be buyer-funded pilot scope.</t>
  </si>
  <si>
    <t>The Guard result is an observed scenario at pinned state, not an audit, investment endorsement, or universal honeypot verdict.</t>
  </si>
  <si>
    <t>Company activity and staff roles change quickly. Recheck the official route immediately before sending.</t>
  </si>
  <si>
    <t>Core source set (row-level sources are on All 40)</t>
  </si>
  <si>
    <t>Defined / Codex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</si>
</sst>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1"/>
      <name val="Carlito"/>
    </font>
    <font>
      <b/>
      <sz val="18"/>
      <color rgb="FFFFFFFF"/>
      <name val="Carlito"/>
    </font>
    <font>
      <i/>
      <sz val="11"/>
      <color rgb="FF172B4D"/>
      <name val="Carlito"/>
    </font>
    <font>
      <b/>
      <sz val="11"/>
      <color rgb="FFFFFFFF"/>
      <name val="Carlito"/>
    </font>
    <font>
      <sz val="10"/>
      <color rgb="FF172B4D"/>
      <name val="Carlito"/>
    </font>
    <font>
      <b/>
      <sz val="14"/>
      <color rgb="FF102A43"/>
      <name val="Carlito"/>
    </font>
    <font>
      <sz val="11"/>
      <color rgb="FF172B4D"/>
      <name val="Carlito"/>
    </font>
    <font>
      <b/>
      <sz val="13"/>
      <color rgb="FFFFFFFF"/>
      <name val="Carlito"/>
    </font>
    <font>
      <b/>
      <sz val="11"/>
      <color rgb="FF0F766E"/>
      <name val="Carlito"/>
    </font>
    <font>
      <b/>
      <sz val="12"/>
      <color rgb="FF102A43"/>
      <name val="Carlito"/>
    </font>
    <font>
      <sz val="9"/>
      <color rgb="FF172B4D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EAF2FF"/>
      </patternFill>
    </fill>
    <fill>
      <patternFill patternType="solid">
        <fgColor rgb="FF0F766E"/>
      </patternFill>
    </fill>
    <fill>
      <patternFill patternType="solid">
        <fgColor rgb="FFE6FFFA"/>
      </patternFill>
    </fill>
    <fill>
      <patternFill patternType="solid">
        <fgColor rgb="FFF3F4F6"/>
      </patternFill>
    </fill>
    <fill>
      <patternFill patternType="solid">
        <fgColor rgb="FFFFF7E0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B4F4A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E2E8F0"/>
      </top>
      <bottom style="medium">
        <color rgb="FF0B4F4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top" wrapText="1"/>
    </xf>
    <xf numFmtId="0" fontId="3" fillId="4" borderId="2" xfId="0" applyNumberFormat="1" applyFont="1" applyFill="1" applyBorder="1" applyAlignment="1">
      <alignment vertical="center" wrapText="1"/>
    </xf>
    <xf numFmtId="1" fontId="4" fillId="5" borderId="3" xfId="0" applyNumberFormat="1" applyFont="1" applyFill="1" applyBorder="1" applyAlignment="1">
      <alignment vertical="top"/>
    </xf>
    <xf numFmtId="0" fontId="4" fillId="5" borderId="3" xfId="0" applyNumberFormat="1" applyFont="1" applyFill="1" applyBorder="1" applyAlignment="1">
      <alignment vertical="top"/>
    </xf>
    <xf numFmtId="0" fontId="4" fillId="0" borderId="3" xfId="0" applyNumberFormat="1" applyFont="1" applyFill="1" applyBorder="1" applyAlignment="1">
      <alignment vertical="top"/>
    </xf>
    <xf numFmtId="0" fontId="4" fillId="0" borderId="3" xfId="0" applyNumberFormat="1" applyFont="1" applyFill="1" applyBorder="1" applyAlignment="1">
      <alignment vertical="top" wrapText="1"/>
    </xf>
    <xf numFmtId="1" fontId="4" fillId="0" borderId="3" xfId="0" applyNumberFormat="1" applyFont="1" applyFill="1" applyBorder="1" applyAlignment="1">
      <alignment vertical="top"/>
    </xf>
    <xf numFmtId="1" fontId="4" fillId="6" borderId="3" xfId="0" applyNumberFormat="1" applyFont="1" applyFill="1" applyBorder="1" applyAlignment="1">
      <alignment vertical="top"/>
    </xf>
    <xf numFmtId="0" fontId="4" fillId="6" borderId="3" xfId="0" applyNumberFormat="1" applyFont="1" applyFill="1" applyBorder="1" applyAlignment="1">
      <alignment vertical="top"/>
    </xf>
    <xf numFmtId="1" fontId="4" fillId="6" borderId="4" xfId="0" applyNumberFormat="1" applyFont="1" applyFill="1" applyBorder="1" applyAlignment="1">
      <alignment vertical="top"/>
    </xf>
    <xf numFmtId="0" fontId="4" fillId="6" borderId="4" xfId="0" applyNumberFormat="1" applyFont="1" applyFill="1" applyBorder="1" applyAlignment="1">
      <alignment vertical="top"/>
    </xf>
    <xf numFmtId="0" fontId="4" fillId="0" borderId="4" xfId="0" applyNumberFormat="1" applyFont="1" applyFill="1" applyBorder="1" applyAlignment="1">
      <alignment vertical="top"/>
    </xf>
    <xf numFmtId="0" fontId="4" fillId="0" borderId="4" xfId="0" applyNumberFormat="1" applyFont="1" applyFill="1" applyBorder="1" applyAlignment="1">
      <alignment vertical="top" wrapText="1"/>
    </xf>
    <xf numFmtId="1" fontId="4" fillId="0" borderId="4" xfId="0" applyNumberFormat="1" applyFont="1" applyFill="1" applyBorder="1" applyAlignment="1">
      <alignment vertical="top"/>
    </xf>
    <xf numFmtId="164" fontId="4" fillId="0" borderId="0" xfId="0" applyNumberFormat="1" applyFont="1" applyFill="1" applyBorder="1" applyAlignment="1">
      <alignment vertical="top" wrapText="1"/>
    </xf>
    <xf numFmtId="1" fontId="4" fillId="0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/>
    </xf>
    <xf numFmtId="0" fontId="6" fillId="0" borderId="3" xfId="0" applyNumberFormat="1" applyFont="1" applyFill="1" applyBorder="1" applyAlignment="1">
      <alignment vertical="top" wrapText="1"/>
    </xf>
    <xf numFmtId="0" fontId="6" fillId="0" borderId="11" xfId="0" applyNumberFormat="1" applyFont="1" applyFill="1" applyBorder="1" applyAlignment="1">
      <alignment vertical="top" wrapText="1"/>
    </xf>
    <xf numFmtId="0" fontId="8" fillId="5" borderId="0" xfId="0" applyNumberFormat="1" applyFont="1" applyFill="1" applyBorder="1"/>
    <xf numFmtId="0" fontId="1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vertical="center" wrapText="1"/>
    </xf>
    <xf numFmtId="0" fontId="6" fillId="3" borderId="0" xfId="0" applyNumberFormat="1" applyFont="1" applyFill="1" applyBorder="1" applyAlignment="1">
      <alignment vertical="center" wrapText="1"/>
    </xf>
    <xf numFmtId="0" fontId="7" fillId="2" borderId="0" xfId="0" applyNumberFormat="1" applyFont="1" applyFill="1" applyBorder="1"/>
    <xf numFmtId="0" fontId="0" fillId="0" borderId="9" xfId="0" applyNumberFormat="1" applyFont="1" applyFill="1" applyBorder="1" applyAlignment="1">
      <alignment vertical="center" wrapText="1"/>
    </xf>
    <xf numFmtId="0" fontId="6" fillId="7" borderId="0" xfId="0" applyNumberFormat="1" applyFont="1" applyFill="1" applyBorder="1" applyAlignment="1">
      <alignment vertical="top" wrapText="1"/>
    </xf>
    <xf numFmtId="0" fontId="9" fillId="3" borderId="0" xfId="0" applyNumberFormat="1" applyFont="1" applyFill="1" applyBorder="1" applyAlignment="1">
      <alignment horizontal="center"/>
    </xf>
    <xf numFmtId="0" fontId="6" fillId="7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1cf820da1b52496b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ltc:personList xmlns:xltc="http://schemas.microsoft.com/office/spreadsheetml/2018/threadedcomments">
  <xltc:person displayName="Erick Turner" id="{9BFE796B-9353-4AFE-B082-8CC063C1A3A1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irstWaveTable" displayName="FirstWaveTable" ref="A6:P31" totalsRowShown="0">
  <tableColumns count="16">
    <tableColumn id="1" xr3:uid="{00000000-0010-0000-0000-000001000000}" name="Rank"/>
    <tableColumn id="2" xr3:uid="{00000000-0010-0000-0000-000002000000}" name="Company / product"/>
    <tableColumn id="3" xr3:uid="{00000000-0010-0000-0000-000003000000}" name="Segment"/>
    <tableColumn id="4" xr3:uid="{00000000-0010-0000-0000-000004000000}" name="Why this target"/>
    <tableColumn id="5" xr3:uid="{00000000-0010-0000-0000-000005000000}" name="Buyer role"/>
    <tableColumn id="6" xr3:uid="{00000000-0010-0000-0000-000006000000}" name="Contact route"/>
    <tableColumn id="7" xr3:uid="{00000000-0010-0000-0000-000007000000}" name="Public contact"/>
    <tableColumn id="8" xr3:uid="{00000000-0010-0000-0000-000008000000}" name="Opening pitch"/>
    <tableColumn id="9" xr3:uid="{00000000-0010-0000-0000-000009000000}" name="Current build gap"/>
    <tableColumn id="10" xr3:uid="{00000000-0010-0000-0000-00000A000000}" name="Score"/>
    <tableColumn id="11" xr3:uid="{00000000-0010-0000-0000-00000B000000}" name="Confidence"/>
    <tableColumn id="12" xr3:uid="{00000000-0010-0000-0000-00000C000000}" name="Evidence"/>
    <tableColumn id="13" xr3:uid="{00000000-0010-0000-0000-00000D000000}" name="Status"/>
    <tableColumn id="14" xr3:uid="{00000000-0010-0000-0000-00000E000000}" name="Last touch"/>
    <tableColumn id="15" xr3:uid="{00000000-0010-0000-0000-00000F000000}" name="Owner"/>
    <tableColumn id="16" xr3:uid="{00000000-0010-0000-0000-000010000000}" name="Next step / 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llProspectsTable" displayName="AllProspectsTable" ref="A5:V45" totalsRowShown="0">
  <tableColumns count="22">
    <tableColumn id="1" xr3:uid="{00000000-0010-0000-0100-000001000000}" name="Rank"/>
    <tableColumn id="2" xr3:uid="{00000000-0010-0000-0100-000002000000}" name="Wave"/>
    <tableColumn id="3" xr3:uid="{00000000-0010-0000-0100-000003000000}" name="Company"/>
    <tableColumn id="4" xr3:uid="{00000000-0010-0000-0100-000004000000}" name="Product"/>
    <tableColumn id="5" xr3:uid="{00000000-0010-0000-0100-000005000000}" name="Segment"/>
    <tableColumn id="6" xr3:uid="{00000000-0010-0000-0100-000006000000}" name="Why Guard fits"/>
    <tableColumn id="7" xr3:uid="{00000000-0010-0000-0100-000007000000}" name="Current demo fit / gap"/>
    <tableColumn id="8" xr3:uid="{00000000-0010-0000-0100-000008000000}" name="Best buyer role"/>
    <tableColumn id="9" xr3:uid="{00000000-0010-0000-0100-000009000000}" name="Primary contact path"/>
    <tableColumn id="10" xr3:uid="{00000000-0010-0000-0100-00000A000000}" name="Public contact detail"/>
    <tableColumn id="11" xr3:uid="{00000000-0010-0000-0100-00000B000000}" name="Contact URL"/>
    <tableColumn id="12" xr3:uid="{00000000-0010-0000-0100-00000C000000}" name="Pitch angle"/>
    <tableColumn id="13" xr3:uid="{00000000-0010-0000-0100-00000D000000}" name="Fit (0-5)"/>
    <tableColumn id="14" xr3:uid="{00000000-0010-0000-0100-00000E000000}" name="Urgency (0-5)"/>
    <tableColumn id="15" xr3:uid="{00000000-0010-0000-0100-00000F000000}" name="Contactability (0-5)"/>
    <tableColumn id="16" xr3:uid="{00000000-0010-0000-0100-000010000000}" name="Pilot simplicity (0-5)"/>
    <tableColumn id="17" xr3:uid="{00000000-0010-0000-0100-000011000000}" name="Conflict penalty (0-5)"/>
    <tableColumn id="18" xr3:uid="{00000000-0010-0000-0100-000012000000}" name="Priority score"/>
    <tableColumn id="19" xr3:uid="{00000000-0010-0000-0100-000013000000}" name="Contact confidence"/>
    <tableColumn id="20" xr3:uid="{00000000-0010-0000-0100-000014000000}" name="Product source"/>
    <tableColumn id="21" xr3:uid="{00000000-0010-0000-0100-000015000000}" name="Contact source"/>
    <tableColumn id="22" xr3:uid="{00000000-0010-0000-0100-00001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showGridLines="0" tabSelected="1" workbookViewId="0">
      <selection sqref="A1:P1"/>
    </sheetView>
  </sheetViews>
  <sheetFormatPr defaultRowHeight="14.25"/>
  <cols>
    <col min="1" max="1" width="7" customWidth="1"/>
    <col min="2" max="2" width="28" customWidth="1"/>
    <col min="3" max="3" width="19" customWidth="1"/>
    <col min="4" max="4" width="42" customWidth="1"/>
    <col min="5" max="5" width="30" customWidth="1"/>
    <col min="6" max="6" width="28" customWidth="1"/>
    <col min="7" max="7" width="25" customWidth="1"/>
    <col min="8" max="8" width="46" customWidth="1"/>
    <col min="9" max="9" width="31" customWidth="1"/>
    <col min="10" max="10" width="10" customWidth="1"/>
    <col min="11" max="11" width="12" customWidth="1"/>
    <col min="12" max="12" width="38" customWidth="1"/>
    <col min="13" max="13" width="16" customWidth="1"/>
    <col min="14" max="14" width="13" customWidth="1"/>
    <col min="15" max="15" width="12" customWidth="1"/>
    <col min="16" max="16" width="35" customWidth="1"/>
  </cols>
  <sheetData>
    <row r="1" spans="1:16" ht="33.950000000000003" customHeight="1">
      <c r="A1" s="23" t="s">
        <v>0</v>
      </c>
      <c r="B1" s="23" t="s">
        <v>0</v>
      </c>
      <c r="C1" s="23" t="s">
        <v>0</v>
      </c>
      <c r="D1" s="23" t="s">
        <v>0</v>
      </c>
      <c r="E1" s="23" t="s">
        <v>0</v>
      </c>
      <c r="F1" s="23" t="s">
        <v>0</v>
      </c>
      <c r="G1" s="23" t="s">
        <v>0</v>
      </c>
      <c r="H1" s="23" t="s">
        <v>0</v>
      </c>
      <c r="I1" s="23" t="s">
        <v>0</v>
      </c>
      <c r="J1" s="23" t="s">
        <v>0</v>
      </c>
      <c r="K1" s="23" t="s">
        <v>0</v>
      </c>
      <c r="L1" s="23" t="s">
        <v>0</v>
      </c>
      <c r="M1" s="23" t="s">
        <v>0</v>
      </c>
      <c r="N1" s="23" t="s">
        <v>0</v>
      </c>
      <c r="O1" s="23" t="s">
        <v>0</v>
      </c>
      <c r="P1" s="23" t="s">
        <v>0</v>
      </c>
    </row>
    <row r="2" spans="1:16">
      <c r="A2" s="24" t="s">
        <v>1</v>
      </c>
      <c r="B2" s="25"/>
      <c r="C2" s="25"/>
      <c r="D2" s="26"/>
      <c r="E2" s="24" t="s">
        <v>2</v>
      </c>
      <c r="F2" s="25"/>
      <c r="G2" s="25"/>
      <c r="H2" s="26"/>
      <c r="I2" s="24" t="s">
        <v>3</v>
      </c>
      <c r="J2" s="25"/>
      <c r="K2" s="25"/>
      <c r="L2" s="26"/>
      <c r="M2" s="24" t="s">
        <v>4</v>
      </c>
      <c r="N2" s="25"/>
      <c r="O2" s="25"/>
      <c r="P2" s="26"/>
    </row>
    <row r="3" spans="1:16" ht="26.25" customHeight="1">
      <c r="A3" s="27"/>
      <c r="B3" s="28"/>
      <c r="C3" s="28"/>
      <c r="D3" s="29"/>
      <c r="E3" s="27"/>
      <c r="F3" s="28"/>
      <c r="G3" s="28"/>
      <c r="H3" s="29"/>
      <c r="I3" s="27"/>
      <c r="J3" s="28"/>
      <c r="K3" s="28"/>
      <c r="L3" s="29"/>
      <c r="M3" s="27"/>
      <c r="N3" s="28"/>
      <c r="O3" s="28"/>
      <c r="P3" s="29"/>
    </row>
    <row r="6" spans="1:16" ht="32.1" customHeight="1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</row>
    <row r="7" spans="1:16" ht="74.099999999999994" customHeight="1">
      <c r="A7" s="17">
        <f>'All 40'!A6</f>
        <v>1</v>
      </c>
      <c r="B7" s="2" t="str">
        <f>'All 40'!C6&amp;" / "&amp;'All 40'!D6</f>
        <v>Codex Data Inc. / Defined.fi</v>
      </c>
      <c r="C7" s="2" t="str">
        <f>'All 40'!E6</f>
        <v>Trading analytics</v>
      </c>
      <c r="D7" s="2" t="str">
        <f>'All 40'!F6</f>
        <v>Token discovery and execution sit in one trader workflow; Guard adds reproducible sellability evidence when token data is inconclusive.</v>
      </c>
      <c r="E7" s="2" t="str">
        <f>'All 40'!H6</f>
        <v>Founder/CEO; Head of Product; Partnerships</v>
      </c>
      <c r="F7" s="2" t="str">
        <f>'All 40'!I6</f>
        <v>Email + LinkedIn role follow-up</v>
      </c>
      <c r="G7" s="2" t="str">
        <f>'All 40'!J6</f>
        <v>hello@defined.fi</v>
      </c>
      <c r="H7" s="2" t="str">
        <f>'All 40'!L6</f>
        <v>Add an execution-verified evidence card beside Defined's token data; start with disputed/high-risk EVM tokens.</v>
      </c>
      <c r="I7" s="2" t="str">
        <f>'All 40'!G6</f>
        <v>Direct: Ethereum trading proof; router adapter may be needed</v>
      </c>
      <c r="J7" s="17">
        <f>'All 40'!R6</f>
        <v>92</v>
      </c>
      <c r="K7" s="2" t="str">
        <f>'All 40'!S6</f>
        <v>High</v>
      </c>
      <c r="L7" s="2" t="str">
        <f>'All 40'!U6</f>
        <v>https://play.google.com/store/apps/details?id=fi.defined</v>
      </c>
      <c r="M7" s="2" t="s">
        <v>21</v>
      </c>
      <c r="N7" s="16"/>
      <c r="O7" s="2" t="s">
        <v>22</v>
      </c>
      <c r="P7" s="2"/>
    </row>
    <row r="8" spans="1:16" ht="74.099999999999994" customHeight="1">
      <c r="A8" s="17">
        <f>'All 40'!A7</f>
        <v>2</v>
      </c>
      <c r="B8" s="2" t="str">
        <f>'All 40'!C7&amp;" / "&amp;'All 40'!D7</f>
        <v>DEXTools / DEXTools</v>
      </c>
      <c r="C8" s="2" t="str">
        <f>'All 40'!E7</f>
        <v>Trading analytics</v>
      </c>
      <c r="D8" s="2" t="str">
        <f>'All 40'!F7</f>
        <v>Already surfaces token risk and has integrated external security data; Guard can become a second-opinion evidence link rather than another score.</v>
      </c>
      <c r="E8" s="2" t="str">
        <f>'All 40'!H7</f>
        <v>Head of Product; API Partnerships; CTO</v>
      </c>
      <c r="F8" s="2" t="str">
        <f>'All 40'!I7</f>
        <v>Company email, then LinkedIn product lead</v>
      </c>
      <c r="G8" s="2" t="str">
        <f>'All 40'!J7</f>
        <v>info@dextools.io</v>
      </c>
      <c r="H8" s="2" t="str">
        <f>'All 40'!L7</f>
        <v>When DEXTScore and static scanners disagree, open a pinned BUY→SELL replay showing what actually happened.</v>
      </c>
      <c r="I8" s="2" t="str">
        <f>'All 40'!G7</f>
        <v>Direct: Ethereum/Uniswap-style proof</v>
      </c>
      <c r="J8" s="17">
        <f>'All 40'!R7</f>
        <v>86</v>
      </c>
      <c r="K8" s="2" t="str">
        <f>'All 40'!S7</f>
        <v>High</v>
      </c>
      <c r="L8" s="2" t="str">
        <f>'All 40'!U7</f>
        <v>https://www.dextools.io/app/en</v>
      </c>
      <c r="M8" s="2" t="s">
        <v>21</v>
      </c>
      <c r="N8" s="16"/>
      <c r="O8" s="2" t="s">
        <v>22</v>
      </c>
      <c r="P8" s="2"/>
    </row>
    <row r="9" spans="1:16" ht="74.099999999999994" customHeight="1">
      <c r="A9" s="17">
        <f>'All 40'!A8</f>
        <v>3</v>
      </c>
      <c r="B9" s="2" t="str">
        <f>'All 40'!C8&amp;" / "&amp;'All 40'!D8</f>
        <v>CryptoHub / CoinScan</v>
      </c>
      <c r="C9" s="2" t="str">
        <f>'All 40'!E8</f>
        <v>Trading analytics</v>
      </c>
      <c r="D9" s="2" t="str">
        <f>'All 40'!F8</f>
        <v>Safety features and trader analytics make a verified sell test a natural premium or trust feature.</v>
      </c>
      <c r="E9" s="2" t="str">
        <f>'All 40'!H8</f>
        <v>Founder; Product Lead; Partnerships</v>
      </c>
      <c r="F9" s="2" t="str">
        <f>'All 40'!I8</f>
        <v>Official support/business email</v>
      </c>
      <c r="G9" s="2" t="str">
        <f>'All 40'!J8</f>
        <v>contact@coinscan.com</v>
      </c>
      <c r="H9" s="2" t="str">
        <f>'All 40'!L8</f>
        <v>Embed a one-click execution proof for new EVM pairs and let users share the replay URL.</v>
      </c>
      <c r="I9" s="2" t="str">
        <f>'All 40'!G8</f>
        <v>Direct: Ethereum token workflow</v>
      </c>
      <c r="J9" s="17">
        <f>'All 40'!R8</f>
        <v>94</v>
      </c>
      <c r="K9" s="2" t="str">
        <f>'All 40'!S8</f>
        <v>High</v>
      </c>
      <c r="L9" s="2" t="str">
        <f>'All 40'!U8</f>
        <v>https://docs.coinscan.com/</v>
      </c>
      <c r="M9" s="2" t="s">
        <v>21</v>
      </c>
      <c r="N9" s="16"/>
      <c r="O9" s="2" t="s">
        <v>22</v>
      </c>
      <c r="P9" s="2"/>
    </row>
    <row r="10" spans="1:16" ht="74.099999999999994" customHeight="1">
      <c r="A10" s="17">
        <f>'All 40'!A9</f>
        <v>4</v>
      </c>
      <c r="B10" s="2" t="str">
        <f>'All 40'!C9&amp;" / "&amp;'All 40'!D9</f>
        <v>Maestro Bots / Maestro</v>
      </c>
      <c r="C10" s="2" t="str">
        <f>'All 40'!E9</f>
        <v>Trading bot</v>
      </c>
      <c r="D10" s="2" t="str">
        <f>'All 40'!F9</f>
        <v>Automated sniping and cross-chain execution expose users directly to taxes, blocked sells, and route-specific failures.</v>
      </c>
      <c r="E10" s="2" t="str">
        <f>'All 40'!H9</f>
        <v>Founder/COO; Head of Product; Partnerships</v>
      </c>
      <c r="F10" s="2" t="str">
        <f>'All 40'!I9</f>
        <v>Official 24/7 support + X</v>
      </c>
      <c r="G10" s="2" t="str">
        <f>'All 40'!J9</f>
        <v>@MaestroBots</v>
      </c>
      <c r="H10" s="2" t="str">
        <f>'All 40'!L9</f>
        <v>Run Guard before a snipe or on demand; return PASS/BLOCKED, measured loss, and evidence without slowing every order.</v>
      </c>
      <c r="I10" s="2" t="str">
        <f>'All 40'!G9</f>
        <v>Direct on Ethereum; other chains/venues are paid adapters</v>
      </c>
      <c r="J10" s="17">
        <f>'All 40'!R9</f>
        <v>90</v>
      </c>
      <c r="K10" s="2" t="str">
        <f>'All 40'!S9</f>
        <v>Medium</v>
      </c>
      <c r="L10" s="2" t="str">
        <f>'All 40'!U9</f>
        <v>https://www.maestrobots.com/</v>
      </c>
      <c r="M10" s="2" t="s">
        <v>21</v>
      </c>
      <c r="N10" s="16"/>
      <c r="O10" s="2" t="s">
        <v>22</v>
      </c>
      <c r="P10" s="2"/>
    </row>
    <row r="11" spans="1:16" ht="74.099999999999994" customHeight="1">
      <c r="A11" s="17">
        <f>'All 40'!A10</f>
        <v>5</v>
      </c>
      <c r="B11" s="2" t="str">
        <f>'All 40'!C10&amp;" / "&amp;'All 40'!D10</f>
        <v>Unibot / Unibot X</v>
      </c>
      <c r="C11" s="2" t="str">
        <f>'All 40'!E10</f>
        <v>Trading bot</v>
      </c>
      <c r="D11" s="2" t="str">
        <f>'All 40'!F10</f>
        <v>Ethereum/Base/Arbitrum trading and token scan surfaces create a direct place for execution-verified risk.</v>
      </c>
      <c r="E11" s="2" t="str">
        <f>'All 40'!H10</f>
        <v>CTO; Product Lead; Partnerships</v>
      </c>
      <c r="F11" s="2" t="str">
        <f>'All 40'!I10</f>
        <v>Official X DM + in-product Telegram support</v>
      </c>
      <c r="G11" s="2" t="str">
        <f>'All 40'!J10</f>
        <v>@TeamUnibot</v>
      </c>
      <c r="H11" s="2" t="str">
        <f>'All 40'!L10</f>
        <v>Use Guard as a pre-trade second opinion for tokens whose scan is uncertain or whose route recently failed.</v>
      </c>
      <c r="I11" s="2" t="str">
        <f>'All 40'!G10</f>
        <v>Direct: Ethereum; Base/Arbitrum adapter by pilot</v>
      </c>
      <c r="J11" s="17">
        <f>'All 40'!R10</f>
        <v>86</v>
      </c>
      <c r="K11" s="2" t="str">
        <f>'All 40'!S10</f>
        <v>Medium</v>
      </c>
      <c r="L11" s="2" t="str">
        <f>'All 40'!U10</f>
        <v>https://x.com/TeamUnibot</v>
      </c>
      <c r="M11" s="2" t="s">
        <v>21</v>
      </c>
      <c r="N11" s="16"/>
      <c r="O11" s="2" t="s">
        <v>22</v>
      </c>
      <c r="P11" s="2"/>
    </row>
    <row r="12" spans="1:16" ht="74.099999999999994" customHeight="1">
      <c r="A12" s="17">
        <f>'All 40'!A11</f>
        <v>6</v>
      </c>
      <c r="B12" s="2" t="str">
        <f>'All 40'!C11&amp;" / "&amp;'All 40'!D11</f>
        <v>BANANAGUN LTD / Banana Gun</v>
      </c>
      <c r="C12" s="2" t="str">
        <f>'All 40'!E11</f>
        <v>Trading bot</v>
      </c>
      <c r="D12" s="2" t="str">
        <f>'All 40'!F11</f>
        <v>Snipe and swap users need immediate evidence that a token can be sold under current state and route conditions.</v>
      </c>
      <c r="E12" s="2" t="str">
        <f>'All 40'!H11</f>
        <v>Founder; Product/Security Lead; Partnerships</v>
      </c>
      <c r="F12" s="2" t="str">
        <f>'All 40'!I11</f>
        <v>Official X/LinkedIn company page</v>
      </c>
      <c r="G12" s="2" t="str">
        <f>'All 40'!J11</f>
        <v>@BananaGunBot</v>
      </c>
      <c r="H12" s="2" t="str">
        <f>'All 40'!L11</f>
        <v>Add execution proof to the existing 'safe trade' promise: tested route, observed loss, and replay when blocked.</v>
      </c>
      <c r="I12" s="2" t="str">
        <f>'All 40'!G11</f>
        <v>Direct: Ethereum; Base/Blast adapters by pilot</v>
      </c>
      <c r="J12" s="17">
        <f>'All 40'!R11</f>
        <v>86</v>
      </c>
      <c r="K12" s="2" t="str">
        <f>'All 40'!S11</f>
        <v>Medium</v>
      </c>
      <c r="L12" s="2" t="str">
        <f>'All 40'!U11</f>
        <v>https://www.linkedin.com/company/bananagunbot</v>
      </c>
      <c r="M12" s="2" t="s">
        <v>21</v>
      </c>
      <c r="N12" s="16"/>
      <c r="O12" s="2" t="s">
        <v>22</v>
      </c>
      <c r="P12" s="2"/>
    </row>
    <row r="13" spans="1:16" ht="74.099999999999994" customHeight="1">
      <c r="A13" s="17">
        <f>'All 40'!A12</f>
        <v>7</v>
      </c>
      <c r="B13" s="2" t="str">
        <f>'All 40'!C12&amp;" / "&amp;'All 40'!D12</f>
        <v>BullX / BullX Turbo / BullX</v>
      </c>
      <c r="C13" s="2" t="str">
        <f>'All 40'!E12</f>
        <v>Trading terminal</v>
      </c>
      <c r="D13" s="2" t="str">
        <f>'All 40'!F12</f>
        <v>Multichain token discovery and fast execution make failed sells and hidden loss directly relevant to retention and trust.</v>
      </c>
      <c r="E13" s="2" t="str">
        <f>'All 40'!H12</f>
        <v>Founder; Head of Product; Partnerships</v>
      </c>
      <c r="F13" s="2" t="str">
        <f>'All 40'!I12</f>
        <v>Official X DM + Discord linked from product</v>
      </c>
      <c r="G13" s="2" t="str">
        <f>'All 40'!J12</f>
        <v>@bullx_io</v>
      </c>
      <c r="H13" s="2" t="str">
        <f>'All 40'!L12</f>
        <v>Pilot Guard on BullX Turbo for one EVM chain; only deep-simulate failures or user-requested explanations.</v>
      </c>
      <c r="I13" s="2" t="str">
        <f>'All 40'!G12</f>
        <v>Requires BullX EVM route adapter</v>
      </c>
      <c r="J13" s="17">
        <f>'All 40'!R12</f>
        <v>86</v>
      </c>
      <c r="K13" s="2" t="str">
        <f>'All 40'!S12</f>
        <v>Medium</v>
      </c>
      <c r="L13" s="2" t="str">
        <f>'All 40'!U12</f>
        <v>https://x.com/bullx_io</v>
      </c>
      <c r="M13" s="2" t="s">
        <v>21</v>
      </c>
      <c r="N13" s="16"/>
      <c r="O13" s="2" t="s">
        <v>22</v>
      </c>
      <c r="P13" s="2"/>
    </row>
    <row r="14" spans="1:16" ht="74.099999999999994" customHeight="1">
      <c r="A14" s="17">
        <f>'All 40'!A13</f>
        <v>8</v>
      </c>
      <c r="B14" s="2" t="str">
        <f>'All 40'!C13&amp;" / "&amp;'All 40'!D13</f>
        <v>GMGN / GMGN.AI</v>
      </c>
      <c r="C14" s="2" t="str">
        <f>'All 40'!E13</f>
        <v>Trading terminal</v>
      </c>
      <c r="D14" s="2" t="str">
        <f>'All 40'!F13</f>
        <v>GMGN already audits token risk and executes trades across Ethereum, Base, and BSC; replayable evidence is the differentiator.</v>
      </c>
      <c r="E14" s="2" t="str">
        <f>'All 40'!H13</f>
        <v>Head of Product; Security Product; Partnerships</v>
      </c>
      <c r="F14" s="2" t="str">
        <f>'All 40'!I13</f>
        <v>Official Telegram or X</v>
      </c>
      <c r="G14" s="2" t="str">
        <f>'All 40'!J13</f>
        <v>t.me/gmgnai | @gmgnai</v>
      </c>
      <c r="H14" s="2" t="str">
        <f>'All 40'!L13</f>
        <v>Do not replace GMGN's audit. Add an 'execution verified' result for contested tokens and high-value orders.</v>
      </c>
      <c r="I14" s="2" t="str">
        <f>'All 40'!G13</f>
        <v>Direct concept; venue-specific adapter required</v>
      </c>
      <c r="J14" s="17">
        <f>'All 40'!R13</f>
        <v>86</v>
      </c>
      <c r="K14" s="2" t="str">
        <f>'All 40'!S13</f>
        <v>High</v>
      </c>
      <c r="L14" s="2" t="str">
        <f>'All 40'!U13</f>
        <v>https://gmgn.ai/static/tos.html</v>
      </c>
      <c r="M14" s="2" t="s">
        <v>21</v>
      </c>
      <c r="N14" s="16"/>
      <c r="O14" s="2" t="s">
        <v>22</v>
      </c>
      <c r="P14" s="2"/>
    </row>
    <row r="15" spans="1:16" ht="74.099999999999994" customHeight="1">
      <c r="A15" s="17">
        <f>'All 40'!A14</f>
        <v>9</v>
      </c>
      <c r="B15" s="2" t="str">
        <f>'All 40'!C14&amp;" / "&amp;'All 40'!D14</f>
        <v>Tiny Astro / Photon</v>
      </c>
      <c r="C15" s="2" t="str">
        <f>'All 40'!E14</f>
        <v>Trading terminal</v>
      </c>
      <c r="D15" s="2" t="str">
        <f>'All 40'!F14</f>
        <v>Fast token discovery and trading exposes the exact new-token uncertainty Guard measures.</v>
      </c>
      <c r="E15" s="2" t="str">
        <f>'All 40'!H14</f>
        <v>Founder; Product Lead; Partnerships</v>
      </c>
      <c r="F15" s="2" t="str">
        <f>'All 40'!I14</f>
        <v>Official X DM</v>
      </c>
      <c r="G15" s="2" t="str">
        <f>'All 40'!J14</f>
        <v>@tradewithPhoton</v>
      </c>
      <c r="H15" s="2" t="str">
        <f>'All 40'!L14</f>
        <v>Offer a one-chain pilot that shows observed round-trip loss and a replay link before users size up a trade.</v>
      </c>
      <c r="I15" s="2" t="str">
        <f>'All 40'!G14</f>
        <v>Ethereum version is adjacent; confirm current route</v>
      </c>
      <c r="J15" s="17">
        <f>'All 40'!R14</f>
        <v>86</v>
      </c>
      <c r="K15" s="2" t="str">
        <f>'All 40'!S14</f>
        <v>Medium</v>
      </c>
      <c r="L15" s="2" t="str">
        <f>'All 40'!U14</f>
        <v>https://x.com/tradewithPhoton</v>
      </c>
      <c r="M15" s="2" t="s">
        <v>21</v>
      </c>
      <c r="N15" s="16"/>
      <c r="O15" s="2" t="s">
        <v>22</v>
      </c>
      <c r="P15" s="2"/>
    </row>
    <row r="16" spans="1:16" ht="74.099999999999994" customHeight="1">
      <c r="A16" s="17">
        <f>'All 40'!A15</f>
        <v>10</v>
      </c>
      <c r="B16" s="2" t="str">
        <f>'All 40'!C15&amp;" / "&amp;'All 40'!D15</f>
        <v>Clanker / Clanker</v>
      </c>
      <c r="C16" s="2" t="str">
        <f>'All 40'!E15</f>
        <v>Token launch platform</v>
      </c>
      <c r="D16" s="2" t="str">
        <f>'All 40'!F15</f>
        <v>A launch protocol can publish execution-verified sellability immediately after pool creation.</v>
      </c>
      <c r="E16" s="2" t="str">
        <f>'All 40'!H15</f>
        <v>Core team; Protocol/Product Lead</v>
      </c>
      <c r="F16" s="2" t="str">
        <f>'All 40'!I15</f>
        <v>Official project email + Farcaster/X</v>
      </c>
      <c r="G16" s="2" t="str">
        <f>'All 40'!J15</f>
        <v>intern@clanker.world</v>
      </c>
      <c r="H16" s="2" t="str">
        <f>'All 40'!L15</f>
        <v>Make 'Guard verified at block X' an optional launch badge and evidence page for every new Base token.</v>
      </c>
      <c r="I16" s="2" t="str">
        <f>'All 40'!G15</f>
        <v>Requires Base/Clanker pool adapter</v>
      </c>
      <c r="J16" s="17">
        <f>'All 40'!R15</f>
        <v>88</v>
      </c>
      <c r="K16" s="2" t="str">
        <f>'All 40'!S15</f>
        <v>High</v>
      </c>
      <c r="L16" s="2" t="str">
        <f>'All 40'!U15</f>
        <v>https://clanker.world/clanker/0xa1888e697da3aeac839398408922db6fc0728b07</v>
      </c>
      <c r="M16" s="2" t="s">
        <v>21</v>
      </c>
      <c r="N16" s="16"/>
      <c r="O16" s="2" t="s">
        <v>22</v>
      </c>
      <c r="P16" s="2"/>
    </row>
    <row r="17" spans="1:16" ht="74.099999999999994" customHeight="1">
      <c r="A17" s="17">
        <f>'All 40'!A16</f>
        <v>11</v>
      </c>
      <c r="B17" s="2" t="str">
        <f>'All 40'!C16&amp;" / "&amp;'All 40'!D16</f>
        <v>TrustSwap Inc. / Team.Finance</v>
      </c>
      <c r="C17" s="2" t="str">
        <f>'All 40'!E16</f>
        <v>Token infrastructure</v>
      </c>
      <c r="D17" s="2" t="str">
        <f>'All 40'!F16</f>
        <v>Token creation, locks, vesting, and white-label services create a natural verification checkpoint before a project goes live.</v>
      </c>
      <c r="E17" s="2" t="str">
        <f>'All 40'!H16</f>
        <v>Business Development &amp; Partnerships Manager</v>
      </c>
      <c r="F17" s="2" t="str">
        <f>'All 40'!I16</f>
        <v>Sales email or schedule-a-call form</v>
      </c>
      <c r="G17" s="2" t="str">
        <f>'All 40'!J16</f>
        <v>info@team.finance</v>
      </c>
      <c r="H17" s="2" t="str">
        <f>'All 40'!L16</f>
        <v>Add an optional post-launch Guard certificate: exact pool, exact block, observed sell result, and replay bundle.</v>
      </c>
      <c r="I17" s="2" t="str">
        <f>'All 40'!G16</f>
        <v>Requires buyer-selected chain/venue adapter</v>
      </c>
      <c r="J17" s="17">
        <f>'All 40'!R16</f>
        <v>92</v>
      </c>
      <c r="K17" s="2" t="str">
        <f>'All 40'!S16</f>
        <v>High</v>
      </c>
      <c r="L17" s="2" t="str">
        <f>'All 40'!U16</f>
        <v>https://www.team.finance/contact</v>
      </c>
      <c r="M17" s="2" t="s">
        <v>21</v>
      </c>
      <c r="N17" s="16"/>
      <c r="O17" s="2" t="s">
        <v>22</v>
      </c>
      <c r="P17" s="2"/>
    </row>
    <row r="18" spans="1:16" ht="74.099999999999994" customHeight="1">
      <c r="A18" s="17">
        <f>'All 40'!A17</f>
        <v>12</v>
      </c>
      <c r="B18" s="2" t="str">
        <f>'All 40'!C17&amp;" / "&amp;'All 40'!D17</f>
        <v>DxSale Network / DxSale</v>
      </c>
      <c r="C18" s="2" t="str">
        <f>'All 40'!E17</f>
        <v>Token launch platform</v>
      </c>
      <c r="D18" s="2" t="str">
        <f>'All 40'!F17</f>
        <v>Projects mint, launch, and lock liquidity on one platform; verified trade execution can be a paid launch add-on.</v>
      </c>
      <c r="E18" s="2" t="str">
        <f>'All 40'!H17</f>
        <v>Founder; Product Lead</v>
      </c>
      <c r="F18" s="2" t="str">
        <f>'All 40'!I17</f>
        <v>Founder email from official docs</v>
      </c>
      <c r="G18" s="2" t="str">
        <f>'All 40'!J17</f>
        <v>dennis@dxsale.network</v>
      </c>
      <c r="H18" s="2" t="str">
        <f>'All 40'!L17</f>
        <v>Offer execution verification as an optional launch-package certificate, not investment approval.</v>
      </c>
      <c r="I18" s="2" t="str">
        <f>'All 40'!G17</f>
        <v>Likely requires BNB/EVM venue adapter</v>
      </c>
      <c r="J18" s="17">
        <f>'All 40'!R17</f>
        <v>92</v>
      </c>
      <c r="K18" s="2" t="str">
        <f>'All 40'!S17</f>
        <v>High</v>
      </c>
      <c r="L18" s="2" t="str">
        <f>'All 40'!U17</f>
        <v>https://docs.dxsale.network/what-is-dxsale/team-contact-us</v>
      </c>
      <c r="M18" s="2" t="s">
        <v>21</v>
      </c>
      <c r="N18" s="16"/>
      <c r="O18" s="2" t="s">
        <v>22</v>
      </c>
      <c r="P18" s="2"/>
    </row>
    <row r="19" spans="1:16" ht="74.099999999999994" customHeight="1">
      <c r="A19" s="17">
        <f>'All 40'!A18</f>
        <v>13</v>
      </c>
      <c r="B19" s="2" t="str">
        <f>'All 40'!C18&amp;" / "&amp;'All 40'!D18</f>
        <v>PinkSale / PinkSale</v>
      </c>
      <c r="C19" s="2" t="str">
        <f>'All 40'!E18</f>
        <v>Token launch platform</v>
      </c>
      <c r="D19" s="2" t="str">
        <f>'All 40'!F18</f>
        <v>High-volume permissionless launches need a visible, objective post-launch trade test to separate functioning pools from blocked sells.</v>
      </c>
      <c r="E19" s="2" t="str">
        <f>'All 40'!H18</f>
        <v>Founder; Product Lead; Partnerships</v>
      </c>
      <c r="F19" s="2" t="str">
        <f>'All 40'!I18</f>
        <v>LinkedIn company message; official community link from site</v>
      </c>
      <c r="G19" s="2" t="str">
        <f>'All 40'!J18</f>
        <v>PinkSale company page</v>
      </c>
      <c r="H19" s="2" t="str">
        <f>'All 40'!L18</f>
        <v>Sell an optional 'execution-verified launch' badge with pinned evidence and automatic retest after contract changes.</v>
      </c>
      <c r="I19" s="2" t="str">
        <f>'All 40'!G18</f>
        <v>Requires buyer-selected BNB/EVM venue adapter</v>
      </c>
      <c r="J19" s="17">
        <f>'All 40'!R18</f>
        <v>84</v>
      </c>
      <c r="K19" s="2" t="str">
        <f>'All 40'!S18</f>
        <v>Medium</v>
      </c>
      <c r="L19" s="2" t="str">
        <f>'All 40'!U18</f>
        <v>https://www.linkedin.com/company/pinksale</v>
      </c>
      <c r="M19" s="2" t="s">
        <v>21</v>
      </c>
      <c r="N19" s="16"/>
      <c r="O19" s="2" t="s">
        <v>22</v>
      </c>
      <c r="P19" s="2"/>
    </row>
    <row r="20" spans="1:16" ht="74.099999999999994" customHeight="1">
      <c r="A20" s="17">
        <f>'All 40'!A19</f>
        <v>14</v>
      </c>
      <c r="B20" s="2" t="str">
        <f>'All 40'!C19&amp;" / "&amp;'All 40'!D19</f>
        <v>OpenOcean / OpenOcean</v>
      </c>
      <c r="C20" s="2" t="str">
        <f>'All 40'!E19</f>
        <v>Swap infrastructure</v>
      </c>
      <c r="D20" s="2" t="str">
        <f>'All 40'!F19</f>
        <v>Wallets and bots already integrate its API; adding execution-risk evidence to routes could reduce bad-token trades and support incidents.</v>
      </c>
      <c r="E20" s="2" t="str">
        <f>'All 40'!H19</f>
        <v>API Business Development; Head of Product</v>
      </c>
      <c r="F20" s="2" t="str">
        <f>'All 40'!I19</f>
        <v>Official support email + API BD form/group</v>
      </c>
      <c r="G20" s="2" t="str">
        <f>'All 40'!J19</f>
        <v>support@openocean.finance</v>
      </c>
      <c r="H20" s="2" t="str">
        <f>'All 40'!L19</f>
        <v>Return an optional Guard risk object with the quote: sell test, observed loss, evidence URL, and freshness block.</v>
      </c>
      <c r="I20" s="2" t="str">
        <f>'All 40'!G19</f>
        <v>Requires OpenOcean quote/router adapter</v>
      </c>
      <c r="J20" s="17">
        <f>'All 40'!R19</f>
        <v>83</v>
      </c>
      <c r="K20" s="2" t="str">
        <f>'All 40'!S19</f>
        <v>High</v>
      </c>
      <c r="L20" s="2" t="str">
        <f>'All 40'!U19</f>
        <v>https://docs.openocean.finance/docs/swap-api/api-pricing-and-access</v>
      </c>
      <c r="M20" s="2" t="s">
        <v>21</v>
      </c>
      <c r="N20" s="16"/>
      <c r="O20" s="2" t="s">
        <v>22</v>
      </c>
      <c r="P20" s="2"/>
    </row>
    <row r="21" spans="1:16" ht="74.099999999999994" customHeight="1">
      <c r="A21" s="17">
        <f>'All 40'!A20</f>
        <v>15</v>
      </c>
      <c r="B21" s="2" t="str">
        <f>'All 40'!C20&amp;" / "&amp;'All 40'!D20</f>
        <v>LI.FI / LI.FI / Jumper</v>
      </c>
      <c r="C21" s="2" t="str">
        <f>'All 40'!E20</f>
        <v>Swap infrastructure</v>
      </c>
      <c r="D21" s="2" t="str">
        <f>'All 40'!F20</f>
        <v>A single integration powers hundreds of wallets and apps, making it a high-leverage distribution partner for route-aware token risk.</v>
      </c>
      <c r="E21" s="2" t="str">
        <f>'All 40'!H20</f>
        <v>Head of DeFi Sales; Product Partnerships</v>
      </c>
      <c r="F21" s="2" t="str">
        <f>'All 40'!I20</f>
        <v>Official partnership form</v>
      </c>
      <c r="G21" s="2" t="str">
        <f>'All 40'!J20</f>
        <v>Integration partnership request</v>
      </c>
      <c r="H21" s="2" t="str">
        <f>'All 40'!L20</f>
        <v>Add execution-verified token risk as an opt-in preflight or quote metadata service for integrators.</v>
      </c>
      <c r="I21" s="2" t="str">
        <f>'All 40'!G20</f>
        <v>Requires LI.FI route adapter; larger integration surface</v>
      </c>
      <c r="J21" s="17">
        <f>'All 40'!R20</f>
        <v>87</v>
      </c>
      <c r="K21" s="2" t="str">
        <f>'All 40'!S20</f>
        <v>High</v>
      </c>
      <c r="L21" s="2" t="str">
        <f>'All 40'!U20</f>
        <v>https://docs.li.fi/introduction/integrating-lifi/partnership-opportunities</v>
      </c>
      <c r="M21" s="2" t="s">
        <v>21</v>
      </c>
      <c r="N21" s="16"/>
      <c r="O21" s="2" t="s">
        <v>22</v>
      </c>
      <c r="P21" s="2"/>
    </row>
    <row r="22" spans="1:16" ht="74.099999999999994" customHeight="1">
      <c r="A22" s="17">
        <f>'All 40'!A21</f>
        <v>16</v>
      </c>
      <c r="B22" s="2" t="str">
        <f>'All 40'!C21&amp;" / "&amp;'All 40'!D21</f>
        <v>Rainbow Studio, Inc. / Rainbow</v>
      </c>
      <c r="C22" s="2" t="str">
        <f>'All 40'!E21</f>
        <v>Wallet</v>
      </c>
      <c r="D22" s="2" t="str">
        <f>'All 40'!F21</f>
        <v>Ethereum-native wallet with swaps and developer surfaces; Guard can create a human-readable pre-swap evidence step.</v>
      </c>
      <c r="E22" s="2" t="str">
        <f>'All 40'!H21</f>
        <v>Head of Product; Wallet Security; Partnerships</v>
      </c>
      <c r="F22" s="2" t="str">
        <f>'All 40'!I21</f>
        <v>Product email + LinkedIn role follow-up</v>
      </c>
      <c r="G22" s="2" t="str">
        <f>'All 40'!J21</f>
        <v>hello@rainbow.me</v>
      </c>
      <c r="H22" s="2" t="str">
        <f>'All 40'!L21</f>
        <v>Test Guard as an 'Explain token risk' action on obscure ERC-20 swaps, not as a blocking default.</v>
      </c>
      <c r="I22" s="2" t="str">
        <f>'All 40'!G21</f>
        <v>Direct Ethereum concept; integrate after quote selection</v>
      </c>
      <c r="J22" s="17">
        <f>'All 40'!R21</f>
        <v>85</v>
      </c>
      <c r="K22" s="2" t="str">
        <f>'All 40'!S21</f>
        <v>High</v>
      </c>
      <c r="L22" s="2" t="str">
        <f>'All 40'!U21</f>
        <v>https://play.google.com/store/apps/details?id=me.rainbow</v>
      </c>
      <c r="M22" s="2" t="s">
        <v>21</v>
      </c>
      <c r="N22" s="16"/>
      <c r="O22" s="2" t="s">
        <v>22</v>
      </c>
      <c r="P22" s="2"/>
    </row>
    <row r="23" spans="1:16" ht="74.099999999999994" customHeight="1">
      <c r="A23" s="17">
        <f>'All 40'!A22</f>
        <v>17</v>
      </c>
      <c r="B23" s="2" t="str">
        <f>'All 40'!C22&amp;" / "&amp;'All 40'!D22</f>
        <v>Zerion / Zerion Wallet / API</v>
      </c>
      <c r="C23" s="2" t="str">
        <f>'All 40'!E22</f>
        <v>Wallet + data API</v>
      </c>
      <c r="D23" s="2" t="str">
        <f>'All 40'!F22</f>
        <v>Zerion sells wallet infrastructure and operates its own wallet, offering both a buyer and a distribution channel.</v>
      </c>
      <c r="E23" s="2" t="str">
        <f>'All 40'!H22</f>
        <v>Head of Product; API Partnerships; Wallet Security</v>
      </c>
      <c r="F23" s="2" t="str">
        <f>'All 40'!I22</f>
        <v>Official API contact-sales form</v>
      </c>
      <c r="G23" s="2" t="str">
        <f>'All 40'!J22</f>
        <v>Contact sales</v>
      </c>
      <c r="H23" s="2" t="str">
        <f>'All 40'!L22</f>
        <v>Pilot an execution-evidence endpoint beside token and wallet data for new or disputed ERC-20 assets.</v>
      </c>
      <c r="I23" s="2" t="str">
        <f>'All 40'!G22</f>
        <v>Direct concept; route integration required</v>
      </c>
      <c r="J23" s="17">
        <f>'All 40'!R22</f>
        <v>83</v>
      </c>
      <c r="K23" s="2" t="str">
        <f>'All 40'!S22</f>
        <v>High</v>
      </c>
      <c r="L23" s="2" t="str">
        <f>'All 40'!U22</f>
        <v>https://zerion.io/api/</v>
      </c>
      <c r="M23" s="2" t="s">
        <v>21</v>
      </c>
      <c r="N23" s="16"/>
      <c r="O23" s="2" t="s">
        <v>22</v>
      </c>
      <c r="P23" s="2"/>
    </row>
    <row r="24" spans="1:16" ht="74.099999999999994" customHeight="1">
      <c r="A24" s="17">
        <f>'All 40'!A23</f>
        <v>18</v>
      </c>
      <c r="B24" s="2" t="str">
        <f>'All 40'!C23&amp;" / "&amp;'All 40'!D23</f>
        <v>DeBank / Rabby Wallet</v>
      </c>
      <c r="C24" s="2" t="str">
        <f>'All 40'!E23</f>
        <v>Wallet</v>
      </c>
      <c r="D24" s="2" t="str">
        <f>'All 40'!F23</f>
        <v>Rabby is EVM-first and already emphasizes transaction safety; pool-specific token execution evidence extends that positioning.</v>
      </c>
      <c r="E24" s="2" t="str">
        <f>'All 40'!H23</f>
        <v>Wallet Product; Security Engineering; Business Development</v>
      </c>
      <c r="F24" s="2" t="str">
        <f>'All 40'!I23</f>
        <v>Support email, then LinkedIn role follow-up</v>
      </c>
      <c r="G24" s="2" t="str">
        <f>'All 40'!J23</f>
        <v>support@rabby.io</v>
      </c>
      <c r="H24" s="2" t="str">
        <f>'All 40'!L23</f>
        <v>Add an on-demand 'test the round trip' action for unknown tokens and show the exact rollback frame when it fails.</v>
      </c>
      <c r="I24" s="2" t="str">
        <f>'All 40'!G23</f>
        <v>Direct EVM concept; swap integration required</v>
      </c>
      <c r="J24" s="17">
        <f>'All 40'!R23</f>
        <v>79</v>
      </c>
      <c r="K24" s="2" t="str">
        <f>'All 40'!S23</f>
        <v>High</v>
      </c>
      <c r="L24" s="2" t="str">
        <f>'All 40'!U23</f>
        <v>https://rabby.io/docs/privacy</v>
      </c>
      <c r="M24" s="2" t="s">
        <v>21</v>
      </c>
      <c r="N24" s="16"/>
      <c r="O24" s="2" t="s">
        <v>22</v>
      </c>
      <c r="P24" s="2"/>
    </row>
    <row r="25" spans="1:16" ht="74.099999999999994" customHeight="1">
      <c r="A25" s="17">
        <f>'All 40'!A24</f>
        <v>19</v>
      </c>
      <c r="B25" s="2" t="str">
        <f>'All 40'!C24&amp;" / "&amp;'All 40'!D24</f>
        <v>TP Global Ltd / TokenPocket</v>
      </c>
      <c r="C25" s="2" t="str">
        <f>'All 40'!E24</f>
        <v>Wallet</v>
      </c>
      <c r="D25" s="2" t="str">
        <f>'All 40'!F24</f>
        <v>TokenPocket already exposes Token Security and Approval Detector tools, so Guard supplies a differentiated execution result.</v>
      </c>
      <c r="E25" s="2" t="str">
        <f>'All 40'!H24</f>
        <v>Business Development; Wallet Security Product</v>
      </c>
      <c r="F25" s="2" t="str">
        <f>'All 40'!I24</f>
        <v>Published business-collaboration email</v>
      </c>
      <c r="G25" s="2" t="str">
        <f>'All 40'!J24</f>
        <v>bd@tokenpocket.pro</v>
      </c>
      <c r="H25" s="2" t="str">
        <f>'All 40'!L24</f>
        <v>Embed Guard under Token Security as a live execution proof, clearly separated from static contract analysis.</v>
      </c>
      <c r="I25" s="2" t="str">
        <f>'All 40'!G24</f>
        <v>Direct EVM concept; venue adapter required</v>
      </c>
      <c r="J25" s="17">
        <f>'All 40'!R24</f>
        <v>82</v>
      </c>
      <c r="K25" s="2" t="str">
        <f>'All 40'!S24</f>
        <v>High</v>
      </c>
      <c r="L25" s="2" t="str">
        <f>'All 40'!U24</f>
        <v>https://www.tokenpocket.pro/en/about</v>
      </c>
      <c r="M25" s="2" t="s">
        <v>21</v>
      </c>
      <c r="N25" s="16"/>
      <c r="O25" s="2" t="s">
        <v>22</v>
      </c>
      <c r="P25" s="2"/>
    </row>
    <row r="26" spans="1:16" ht="74.099999999999994" customHeight="1">
      <c r="A26" s="17">
        <f>'All 40'!A25</f>
        <v>20</v>
      </c>
      <c r="B26" s="2" t="str">
        <f>'All 40'!C25&amp;" / "&amp;'All 40'!D25</f>
        <v>CoinGecko / GeckoTerminal</v>
      </c>
      <c r="C26" s="2" t="str">
        <f>'All 40'!E25</f>
        <v>Token analytics</v>
      </c>
      <c r="D26" s="2" t="str">
        <f>'All 40'!F25</f>
        <v>Large DEX discovery surface and API distribution; a replayable verification link can complement existing security feeds.</v>
      </c>
      <c r="E26" s="2" t="str">
        <f>'All 40'!H25</f>
        <v>GeckoTerminal Product; API Partnerships</v>
      </c>
      <c r="F26" s="2" t="str">
        <f>'All 40'!I25</f>
        <v>CoinGecko support ticket + official Telegram/X</v>
      </c>
      <c r="G26" s="2" t="str">
        <f>'All 40'!J25</f>
        <v>support ticket | @geckoterminal</v>
      </c>
      <c r="H26" s="2" t="str">
        <f>'All 40'!L25</f>
        <v>Run Guard only for trending/disputed EVM tokens and publish a freshness-block evidence link beside current risk data.</v>
      </c>
      <c r="I26" s="2" t="str">
        <f>'All 40'!G25</f>
        <v>Direct concept; venue-specific adapter required</v>
      </c>
      <c r="J26" s="17">
        <f>'All 40'!R25</f>
        <v>77</v>
      </c>
      <c r="K26" s="2" t="str">
        <f>'All 40'!S25</f>
        <v>High</v>
      </c>
      <c r="L26" s="2" t="str">
        <f>'All 40'!U25</f>
        <v>https://www.geckoterminal.com/ad-policy</v>
      </c>
      <c r="M26" s="2" t="s">
        <v>21</v>
      </c>
      <c r="N26" s="16"/>
      <c r="O26" s="2" t="s">
        <v>22</v>
      </c>
      <c r="P26" s="2"/>
    </row>
    <row r="27" spans="1:16" ht="74.099999999999994" customHeight="1">
      <c r="A27" s="17">
        <f>'All 40'!A26</f>
        <v>21</v>
      </c>
      <c r="B27" s="2" t="str">
        <f>'All 40'!C26&amp;" / "&amp;'All 40'!D26</f>
        <v>DEX Screener, Inc. / DEX Screener</v>
      </c>
      <c r="C27" s="2" t="str">
        <f>'All 40'!E26</f>
        <v>Token analytics</v>
      </c>
      <c r="D27" s="2" t="str">
        <f>'All 40'!F26</f>
        <v>Mass-market token discovery and existing security integrations make it a strategic validation target.</v>
      </c>
      <c r="E27" s="2" t="str">
        <f>'All 40'!H26</f>
        <v>Product Partnerships; API/Product Lead</v>
      </c>
      <c r="F27" s="2" t="str">
        <f>'All 40'!I26</f>
        <v>Official Partnerships link in docs</v>
      </c>
      <c r="G27" s="2" t="str">
        <f>'All 40'!J26</f>
        <v>Partnerships form</v>
      </c>
      <c r="H27" s="2" t="str">
        <f>'All 40'!L26</f>
        <v>Offer Guard as a clickable execution evidence layer for edge cases, not a replacement for GoPlus/Quick Intel.</v>
      </c>
      <c r="I27" s="2" t="str">
        <f>'All 40'!G26</f>
        <v>Direct concept; production scale not current</v>
      </c>
      <c r="J27" s="17">
        <f>'All 40'!R26</f>
        <v>76</v>
      </c>
      <c r="K27" s="2" t="str">
        <f>'All 40'!S26</f>
        <v>High</v>
      </c>
      <c r="L27" s="2" t="str">
        <f>'All 40'!U26</f>
        <v>https://docs.dexscreener.com/</v>
      </c>
      <c r="M27" s="2" t="s">
        <v>21</v>
      </c>
      <c r="N27" s="16"/>
      <c r="O27" s="2" t="s">
        <v>22</v>
      </c>
      <c r="P27" s="2"/>
    </row>
    <row r="28" spans="1:16" ht="74.099999999999994" customHeight="1">
      <c r="A28" s="17">
        <f>'All 40'!A27</f>
        <v>22</v>
      </c>
      <c r="B28" s="2" t="str">
        <f>'All 40'!C27&amp;" / "&amp;'All 40'!D27</f>
        <v>AVE AI Data Technology / Ave.ai</v>
      </c>
      <c r="C28" s="2" t="str">
        <f>'All 40'!E27</f>
        <v>Trading analytics + wallet</v>
      </c>
      <c r="D28" s="2" t="str">
        <f>'All 40'!F27</f>
        <v>Ave already offers a token 'Check' function, trading aggregation, and developer APIs, creating a precise complementary evidence slot.</v>
      </c>
      <c r="E28" s="2" t="str">
        <f>'All 40'!H27</f>
        <v>Business Development; API Product</v>
      </c>
      <c r="F28" s="2" t="str">
        <f>'All 40'!I27</f>
        <v>Published ecosystem-program email</v>
      </c>
      <c r="G28" s="2" t="str">
        <f>'All 40'!J27</f>
        <v>AveBusiness100@ave.ai</v>
      </c>
      <c r="H28" s="2" t="str">
        <f>'All 40'!L27</f>
        <v>Add execution-verified results to Ave Check for EVM tokens when static indicators are ambiguous.</v>
      </c>
      <c r="I28" s="2" t="str">
        <f>'All 40'!G27</f>
        <v>Requires chosen EVM chain/router adapter</v>
      </c>
      <c r="J28" s="17">
        <f>'All 40'!R27</f>
        <v>77</v>
      </c>
      <c r="K28" s="2" t="str">
        <f>'All 40'!S27</f>
        <v>High</v>
      </c>
      <c r="L28" s="2" t="str">
        <f>'All 40'!U27</f>
        <v>https://doc.ave.ai/tutorial/ave.ai-ecosystem-program</v>
      </c>
      <c r="M28" s="2" t="s">
        <v>21</v>
      </c>
      <c r="N28" s="16"/>
      <c r="O28" s="2" t="s">
        <v>22</v>
      </c>
      <c r="P28" s="2"/>
    </row>
    <row r="29" spans="1:16" ht="74.099999999999994" customHeight="1">
      <c r="A29" s="17">
        <f>'All 40'!A28</f>
        <v>23</v>
      </c>
      <c r="B29" s="2" t="str">
        <f>'All 40'!C28&amp;" / "&amp;'All 40'!D28</f>
        <v>Wings Lab Pte. Ltd. / Birdeye Data</v>
      </c>
      <c r="C29" s="2" t="str">
        <f>'All 40'!E28</f>
        <v>Crypto data API</v>
      </c>
      <c r="D29" s="2" t="str">
        <f>'All 40'!F28</f>
        <v>Birdeye sells high-volume token data and transaction simulation; Guard's value is the standardized round trip plus evidence bundle.</v>
      </c>
      <c r="E29" s="2" t="str">
        <f>'All 40'!H28</f>
        <v>API Product; Partnerships; Sales Engineering</v>
      </c>
      <c r="F29" s="2" t="str">
        <f>'All 40'!I28</f>
        <v>Official sales/support form</v>
      </c>
      <c r="G29" s="2" t="str">
        <f>'All 40'!J28</f>
        <v>Select sales/partnership reason</v>
      </c>
      <c r="H29" s="2" t="str">
        <f>'All 40'!L28</f>
        <v>Pilot Guard as a premium endpoint for token sellability and round-trip loss with pinned reproducibility metadata.</v>
      </c>
      <c r="I29" s="2" t="str">
        <f>'All 40'!G28</f>
        <v>Requires target EVM venue adapter</v>
      </c>
      <c r="J29" s="17">
        <f>'All 40'!R28</f>
        <v>80</v>
      </c>
      <c r="K29" s="2" t="str">
        <f>'All 40'!S28</f>
        <v>High</v>
      </c>
      <c r="L29" s="2" t="str">
        <f>'All 40'!U28</f>
        <v>https://birdeye.so/data-api/contact</v>
      </c>
      <c r="M29" s="2" t="s">
        <v>21</v>
      </c>
      <c r="N29" s="16"/>
      <c r="O29" s="2" t="s">
        <v>22</v>
      </c>
      <c r="P29" s="2"/>
    </row>
    <row r="30" spans="1:16" ht="74.099999999999994" customHeight="1">
      <c r="A30" s="17">
        <f>'All 40'!A29</f>
        <v>24</v>
      </c>
      <c r="B30" s="2" t="str">
        <f>'All 40'!C29&amp;" / "&amp;'All 40'!D29</f>
        <v>Socket / Socket / Bungee</v>
      </c>
      <c r="C30" s="2" t="str">
        <f>'All 40'!E29</f>
        <v>Swap infrastructure</v>
      </c>
      <c r="D30" s="2" t="str">
        <f>'All 40'!F29</f>
        <v>Cross-chain routes can deliver users into risky destination tokens; Guard can preflight the destination-side swap.</v>
      </c>
      <c r="E30" s="2" t="str">
        <f>'All 40'!H29</f>
        <v>Product Partnerships; Developer Relations; Security</v>
      </c>
      <c r="F30" s="2" t="str">
        <f>'All 40'!I29</f>
        <v>Published company email</v>
      </c>
      <c r="G30" s="2" t="str">
        <f>'All 40'!J29</f>
        <v>contact@socket.tech</v>
      </c>
      <c r="H30" s="2" t="str">
        <f>'All 40'!L29</f>
        <v>Add an optional destination-token execution check to Bungee routes, with a clear freshness block and replay link.</v>
      </c>
      <c r="I30" s="2" t="str">
        <f>'All 40'!G29</f>
        <v>Requires Socket route adapter</v>
      </c>
      <c r="J30" s="17">
        <f>'All 40'!R29</f>
        <v>79</v>
      </c>
      <c r="K30" s="2" t="str">
        <f>'All 40'!S29</f>
        <v>High</v>
      </c>
      <c r="L30" s="2" t="str">
        <f>'All 40'!U29</f>
        <v>https://www.socket.tech/</v>
      </c>
      <c r="M30" s="2" t="s">
        <v>21</v>
      </c>
      <c r="N30" s="16"/>
      <c r="O30" s="2" t="s">
        <v>22</v>
      </c>
      <c r="P30" s="2"/>
    </row>
    <row r="31" spans="1:16" ht="74.099999999999994" customHeight="1">
      <c r="A31" s="17">
        <f>'All 40'!A30</f>
        <v>25</v>
      </c>
      <c r="B31" s="2" t="str">
        <f>'All 40'!C30&amp;" / "&amp;'All 40'!D30</f>
        <v>thirdweb / thirdweb</v>
      </c>
      <c r="C31" s="2" t="str">
        <f>'All 40'!E30</f>
        <v>Developer infrastructure</v>
      </c>
      <c r="D31" s="2" t="str">
        <f>'All 40'!F30</f>
        <v>Wallet, token, transaction, and API products could distribute Guard to many builders if packaged as a developer primitive.</v>
      </c>
      <c r="E31" s="2" t="str">
        <f>'All 40'!H30</f>
        <v>Product Partnerships; Head of Transactions/Wallets</v>
      </c>
      <c r="F31" s="2" t="str">
        <f>'All 40'!I30</f>
        <v>Official contact-sales form</v>
      </c>
      <c r="G31" s="2" t="str">
        <f>'All 40'!J30</f>
        <v>Contact form</v>
      </c>
      <c r="H31" s="2" t="str">
        <f>'All 40'!L30</f>
        <v>Offer a Guard preflight component for apps launching or trading ERC-20s through thirdweb infrastructure.</v>
      </c>
      <c r="I31" s="2" t="str">
        <f>'All 40'!G30</f>
        <v>Requires productized endpoint and one venue adapter</v>
      </c>
      <c r="J31" s="17">
        <f>'All 40'!R30</f>
        <v>78</v>
      </c>
      <c r="K31" s="2" t="str">
        <f>'All 40'!S30</f>
        <v>High</v>
      </c>
      <c r="L31" s="2" t="str">
        <f>'All 40'!U30</f>
        <v>https://thirdweb.com/contact-us</v>
      </c>
      <c r="M31" s="2" t="s">
        <v>21</v>
      </c>
      <c r="N31" s="16"/>
      <c r="O31" s="2" t="s">
        <v>22</v>
      </c>
      <c r="P31" s="2"/>
    </row>
  </sheetData>
  <mergeCells count="5">
    <mergeCell ref="A1:P1"/>
    <mergeCell ref="A2:D3"/>
    <mergeCell ref="E2:H3"/>
    <mergeCell ref="I2:L3"/>
    <mergeCell ref="M2:P3"/>
  </mergeCells>
  <conditionalFormatting sqref="J7:J3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M7:M31">
    <cfRule type="containsText" dxfId="3" priority="2" operator="containsText" text="Pilot won"/>
    <cfRule type="containsText" dxfId="2" priority="3" operator="containsText" text="Closed - no"/>
  </conditionalFormatting>
  <dataValidations count="1">
    <dataValidation type="list" sqref="M7:M31" xr:uid="{00000000-0002-0000-0000-000000000000}">
      <formula1>"Not started,Drafted,Sent,Replied,Meeting set,Pricing discussed,Pilot won,Closed - 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5"/>
  <sheetViews>
    <sheetView showGridLines="0" workbookViewId="0"/>
  </sheetViews>
  <sheetFormatPr defaultRowHeight="14.25"/>
  <cols>
    <col min="1" max="1" width="7" customWidth="1"/>
    <col min="2" max="2" width="12" customWidth="1"/>
    <col min="3" max="4" width="22" customWidth="1"/>
    <col min="5" max="5" width="20" customWidth="1"/>
    <col min="6" max="6" width="44" customWidth="1"/>
    <col min="7" max="7" width="34" customWidth="1"/>
    <col min="8" max="9" width="31" customWidth="1"/>
    <col min="10" max="10" width="29" customWidth="1"/>
    <col min="11" max="11" width="34" customWidth="1"/>
    <col min="12" max="12" width="48" customWidth="1"/>
    <col min="13" max="13" width="10" customWidth="1"/>
    <col min="14" max="14" width="11" customWidth="1"/>
    <col min="15" max="17" width="14" customWidth="1"/>
    <col min="18" max="18" width="13" customWidth="1"/>
    <col min="19" max="19" width="14" customWidth="1"/>
    <col min="20" max="22" width="43" customWidth="1"/>
  </cols>
  <sheetData>
    <row r="1" spans="1:22" ht="33.950000000000003" customHeight="1">
      <c r="A1" s="23" t="s">
        <v>23</v>
      </c>
      <c r="B1" s="23" t="s">
        <v>23</v>
      </c>
      <c r="C1" s="23" t="s">
        <v>23</v>
      </c>
      <c r="D1" s="23" t="s">
        <v>23</v>
      </c>
      <c r="E1" s="23" t="s">
        <v>23</v>
      </c>
      <c r="F1" s="23" t="s">
        <v>23</v>
      </c>
      <c r="G1" s="23" t="s">
        <v>23</v>
      </c>
      <c r="H1" s="23" t="s">
        <v>23</v>
      </c>
      <c r="I1" s="23" t="s">
        <v>23</v>
      </c>
      <c r="J1" s="23" t="s">
        <v>23</v>
      </c>
      <c r="K1" s="23" t="s">
        <v>23</v>
      </c>
      <c r="L1" s="23" t="s">
        <v>23</v>
      </c>
      <c r="M1" s="23" t="s">
        <v>23</v>
      </c>
      <c r="N1" s="23" t="s">
        <v>23</v>
      </c>
      <c r="O1" s="23" t="s">
        <v>23</v>
      </c>
      <c r="P1" s="23" t="s">
        <v>23</v>
      </c>
      <c r="Q1" s="23" t="s">
        <v>23</v>
      </c>
      <c r="R1" s="23" t="s">
        <v>23</v>
      </c>
      <c r="S1" s="23" t="s">
        <v>23</v>
      </c>
      <c r="T1" s="23" t="s">
        <v>23</v>
      </c>
      <c r="U1" s="23" t="s">
        <v>23</v>
      </c>
      <c r="V1" s="23" t="s">
        <v>23</v>
      </c>
    </row>
    <row r="2" spans="1:22" ht="33.950000000000003" customHeight="1">
      <c r="A2" s="30" t="s">
        <v>24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5" spans="1:22" ht="32.1" customHeight="1">
      <c r="A5" s="3" t="s">
        <v>5</v>
      </c>
      <c r="B5" s="3" t="s">
        <v>25</v>
      </c>
      <c r="C5" s="3" t="s">
        <v>26</v>
      </c>
      <c r="D5" s="3" t="s">
        <v>27</v>
      </c>
      <c r="E5" s="3" t="s">
        <v>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</row>
    <row r="6" spans="1:22" ht="72" customHeight="1">
      <c r="A6" s="4">
        <v>1</v>
      </c>
      <c r="B6" s="5" t="s">
        <v>45</v>
      </c>
      <c r="C6" s="6" t="s">
        <v>46</v>
      </c>
      <c r="D6" s="6" t="s">
        <v>47</v>
      </c>
      <c r="E6" s="6" t="s">
        <v>48</v>
      </c>
      <c r="F6" s="7" t="s">
        <v>49</v>
      </c>
      <c r="G6" s="7" t="s">
        <v>50</v>
      </c>
      <c r="H6" s="7" t="s">
        <v>51</v>
      </c>
      <c r="I6" s="7" t="s">
        <v>52</v>
      </c>
      <c r="J6" s="7" t="s">
        <v>53</v>
      </c>
      <c r="K6" s="7" t="s">
        <v>54</v>
      </c>
      <c r="L6" s="7" t="s">
        <v>55</v>
      </c>
      <c r="M6" s="8">
        <v>5</v>
      </c>
      <c r="N6" s="8">
        <v>5</v>
      </c>
      <c r="O6" s="8">
        <v>5</v>
      </c>
      <c r="P6" s="8">
        <v>4</v>
      </c>
      <c r="Q6" s="8">
        <v>2</v>
      </c>
      <c r="R6" s="8">
        <f t="shared" ref="R6:R45" si="0">M6*7+N6*5+O6*4+P6*4-Q6*2</f>
        <v>92</v>
      </c>
      <c r="S6" s="6" t="s">
        <v>56</v>
      </c>
      <c r="T6" s="7" t="s">
        <v>57</v>
      </c>
      <c r="U6" s="7" t="s">
        <v>58</v>
      </c>
      <c r="V6" s="7" t="s">
        <v>59</v>
      </c>
    </row>
    <row r="7" spans="1:22" ht="72" customHeight="1">
      <c r="A7" s="4">
        <v>2</v>
      </c>
      <c r="B7" s="5" t="s">
        <v>45</v>
      </c>
      <c r="C7" s="6" t="s">
        <v>60</v>
      </c>
      <c r="D7" s="6" t="s">
        <v>60</v>
      </c>
      <c r="E7" s="6" t="s">
        <v>48</v>
      </c>
      <c r="F7" s="7" t="s">
        <v>61</v>
      </c>
      <c r="G7" s="7" t="s">
        <v>62</v>
      </c>
      <c r="H7" s="7" t="s">
        <v>63</v>
      </c>
      <c r="I7" s="7" t="s">
        <v>64</v>
      </c>
      <c r="J7" s="7" t="s">
        <v>65</v>
      </c>
      <c r="K7" s="7" t="s">
        <v>66</v>
      </c>
      <c r="L7" s="7" t="s">
        <v>67</v>
      </c>
      <c r="M7" s="8">
        <v>5</v>
      </c>
      <c r="N7" s="8">
        <v>5</v>
      </c>
      <c r="O7" s="8">
        <v>4</v>
      </c>
      <c r="P7" s="8">
        <v>4</v>
      </c>
      <c r="Q7" s="8">
        <v>3</v>
      </c>
      <c r="R7" s="8">
        <f t="shared" si="0"/>
        <v>86</v>
      </c>
      <c r="S7" s="6" t="s">
        <v>56</v>
      </c>
      <c r="T7" s="7" t="s">
        <v>68</v>
      </c>
      <c r="U7" s="7" t="s">
        <v>69</v>
      </c>
      <c r="V7" s="7" t="s">
        <v>70</v>
      </c>
    </row>
    <row r="8" spans="1:22" ht="72" customHeight="1">
      <c r="A8" s="4">
        <v>3</v>
      </c>
      <c r="B8" s="5" t="s">
        <v>45</v>
      </c>
      <c r="C8" s="6" t="s">
        <v>71</v>
      </c>
      <c r="D8" s="6" t="s">
        <v>72</v>
      </c>
      <c r="E8" s="6" t="s">
        <v>48</v>
      </c>
      <c r="F8" s="7" t="s">
        <v>73</v>
      </c>
      <c r="G8" s="7" t="s">
        <v>74</v>
      </c>
      <c r="H8" s="7" t="s">
        <v>75</v>
      </c>
      <c r="I8" s="7" t="s">
        <v>76</v>
      </c>
      <c r="J8" s="7" t="s">
        <v>77</v>
      </c>
      <c r="K8" s="7" t="s">
        <v>78</v>
      </c>
      <c r="L8" s="7" t="s">
        <v>79</v>
      </c>
      <c r="M8" s="8">
        <v>5</v>
      </c>
      <c r="N8" s="8">
        <v>5</v>
      </c>
      <c r="O8" s="8">
        <v>5</v>
      </c>
      <c r="P8" s="8">
        <v>4</v>
      </c>
      <c r="Q8" s="8">
        <v>1</v>
      </c>
      <c r="R8" s="8">
        <f t="shared" si="0"/>
        <v>94</v>
      </c>
      <c r="S8" s="6" t="s">
        <v>56</v>
      </c>
      <c r="T8" s="7" t="s">
        <v>80</v>
      </c>
      <c r="U8" s="7" t="s">
        <v>80</v>
      </c>
      <c r="V8" s="7" t="s">
        <v>81</v>
      </c>
    </row>
    <row r="9" spans="1:22" ht="72" customHeight="1">
      <c r="A9" s="4">
        <v>4</v>
      </c>
      <c r="B9" s="5" t="s">
        <v>45</v>
      </c>
      <c r="C9" s="6" t="s">
        <v>82</v>
      </c>
      <c r="D9" s="6" t="s">
        <v>83</v>
      </c>
      <c r="E9" s="6" t="s">
        <v>84</v>
      </c>
      <c r="F9" s="7" t="s">
        <v>85</v>
      </c>
      <c r="G9" s="7" t="s">
        <v>86</v>
      </c>
      <c r="H9" s="7" t="s">
        <v>87</v>
      </c>
      <c r="I9" s="7" t="s">
        <v>88</v>
      </c>
      <c r="J9" s="7" t="s">
        <v>89</v>
      </c>
      <c r="K9" s="7" t="s">
        <v>90</v>
      </c>
      <c r="L9" s="7" t="s">
        <v>91</v>
      </c>
      <c r="M9" s="8">
        <v>5</v>
      </c>
      <c r="N9" s="8">
        <v>5</v>
      </c>
      <c r="O9" s="8">
        <v>4</v>
      </c>
      <c r="P9" s="8">
        <v>4</v>
      </c>
      <c r="Q9" s="8">
        <v>1</v>
      </c>
      <c r="R9" s="8">
        <f t="shared" si="0"/>
        <v>90</v>
      </c>
      <c r="S9" s="6" t="s">
        <v>92</v>
      </c>
      <c r="T9" s="7" t="s">
        <v>93</v>
      </c>
      <c r="U9" s="7" t="s">
        <v>93</v>
      </c>
      <c r="V9" s="7" t="s">
        <v>94</v>
      </c>
    </row>
    <row r="10" spans="1:22" ht="72" customHeight="1">
      <c r="A10" s="4">
        <v>5</v>
      </c>
      <c r="B10" s="5" t="s">
        <v>45</v>
      </c>
      <c r="C10" s="6" t="s">
        <v>95</v>
      </c>
      <c r="D10" s="6" t="s">
        <v>96</v>
      </c>
      <c r="E10" s="6" t="s">
        <v>84</v>
      </c>
      <c r="F10" s="7" t="s">
        <v>97</v>
      </c>
      <c r="G10" s="7" t="s">
        <v>98</v>
      </c>
      <c r="H10" s="7" t="s">
        <v>99</v>
      </c>
      <c r="I10" s="7" t="s">
        <v>100</v>
      </c>
      <c r="J10" s="7" t="s">
        <v>101</v>
      </c>
      <c r="K10" s="7" t="s">
        <v>102</v>
      </c>
      <c r="L10" s="7" t="s">
        <v>103</v>
      </c>
      <c r="M10" s="8">
        <v>5</v>
      </c>
      <c r="N10" s="8">
        <v>5</v>
      </c>
      <c r="O10" s="8">
        <v>3</v>
      </c>
      <c r="P10" s="8">
        <v>4</v>
      </c>
      <c r="Q10" s="8">
        <v>1</v>
      </c>
      <c r="R10" s="8">
        <f t="shared" si="0"/>
        <v>86</v>
      </c>
      <c r="S10" s="6" t="s">
        <v>92</v>
      </c>
      <c r="T10" s="7" t="s">
        <v>104</v>
      </c>
      <c r="U10" s="7" t="s">
        <v>102</v>
      </c>
      <c r="V10" s="7" t="s">
        <v>105</v>
      </c>
    </row>
    <row r="11" spans="1:22" ht="72" customHeight="1">
      <c r="A11" s="4">
        <v>6</v>
      </c>
      <c r="B11" s="5" t="s">
        <v>45</v>
      </c>
      <c r="C11" s="6" t="s">
        <v>106</v>
      </c>
      <c r="D11" s="6" t="s">
        <v>107</v>
      </c>
      <c r="E11" s="6" t="s">
        <v>84</v>
      </c>
      <c r="F11" s="7" t="s">
        <v>108</v>
      </c>
      <c r="G11" s="7" t="s">
        <v>109</v>
      </c>
      <c r="H11" s="7" t="s">
        <v>110</v>
      </c>
      <c r="I11" s="7" t="s">
        <v>111</v>
      </c>
      <c r="J11" s="7" t="s">
        <v>112</v>
      </c>
      <c r="K11" s="7" t="s">
        <v>113</v>
      </c>
      <c r="L11" s="7" t="s">
        <v>114</v>
      </c>
      <c r="M11" s="8">
        <v>5</v>
      </c>
      <c r="N11" s="8">
        <v>5</v>
      </c>
      <c r="O11" s="8">
        <v>3</v>
      </c>
      <c r="P11" s="8">
        <v>4</v>
      </c>
      <c r="Q11" s="8">
        <v>1</v>
      </c>
      <c r="R11" s="8">
        <f t="shared" si="0"/>
        <v>86</v>
      </c>
      <c r="S11" s="6" t="s">
        <v>92</v>
      </c>
      <c r="T11" s="7" t="s">
        <v>115</v>
      </c>
      <c r="U11" s="7" t="s">
        <v>115</v>
      </c>
      <c r="V11" s="7" t="s">
        <v>116</v>
      </c>
    </row>
    <row r="12" spans="1:22" ht="72" customHeight="1">
      <c r="A12" s="4">
        <v>7</v>
      </c>
      <c r="B12" s="5" t="s">
        <v>45</v>
      </c>
      <c r="C12" s="6" t="s">
        <v>117</v>
      </c>
      <c r="D12" s="6" t="s">
        <v>118</v>
      </c>
      <c r="E12" s="6" t="s">
        <v>119</v>
      </c>
      <c r="F12" s="7" t="s">
        <v>120</v>
      </c>
      <c r="G12" s="7" t="s">
        <v>121</v>
      </c>
      <c r="H12" s="7" t="s">
        <v>122</v>
      </c>
      <c r="I12" s="7" t="s">
        <v>123</v>
      </c>
      <c r="J12" s="7" t="s">
        <v>124</v>
      </c>
      <c r="K12" s="7" t="s">
        <v>125</v>
      </c>
      <c r="L12" s="7" t="s">
        <v>126</v>
      </c>
      <c r="M12" s="8">
        <v>5</v>
      </c>
      <c r="N12" s="8">
        <v>5</v>
      </c>
      <c r="O12" s="8">
        <v>3</v>
      </c>
      <c r="P12" s="8">
        <v>4</v>
      </c>
      <c r="Q12" s="8">
        <v>1</v>
      </c>
      <c r="R12" s="8">
        <f t="shared" si="0"/>
        <v>86</v>
      </c>
      <c r="S12" s="6" t="s">
        <v>92</v>
      </c>
      <c r="T12" s="7" t="s">
        <v>127</v>
      </c>
      <c r="U12" s="7" t="s">
        <v>125</v>
      </c>
      <c r="V12" s="7" t="s">
        <v>128</v>
      </c>
    </row>
    <row r="13" spans="1:22" ht="72" customHeight="1">
      <c r="A13" s="4">
        <v>8</v>
      </c>
      <c r="B13" s="5" t="s">
        <v>45</v>
      </c>
      <c r="C13" s="6" t="s">
        <v>129</v>
      </c>
      <c r="D13" s="6" t="s">
        <v>130</v>
      </c>
      <c r="E13" s="6" t="s">
        <v>119</v>
      </c>
      <c r="F13" s="7" t="s">
        <v>131</v>
      </c>
      <c r="G13" s="7" t="s">
        <v>132</v>
      </c>
      <c r="H13" s="7" t="s">
        <v>133</v>
      </c>
      <c r="I13" s="7" t="s">
        <v>134</v>
      </c>
      <c r="J13" s="7" t="s">
        <v>135</v>
      </c>
      <c r="K13" s="7" t="s">
        <v>136</v>
      </c>
      <c r="L13" s="7" t="s">
        <v>137</v>
      </c>
      <c r="M13" s="8">
        <v>5</v>
      </c>
      <c r="N13" s="8">
        <v>5</v>
      </c>
      <c r="O13" s="8">
        <v>4</v>
      </c>
      <c r="P13" s="8">
        <v>4</v>
      </c>
      <c r="Q13" s="8">
        <v>3</v>
      </c>
      <c r="R13" s="8">
        <f t="shared" si="0"/>
        <v>86</v>
      </c>
      <c r="S13" s="6" t="s">
        <v>56</v>
      </c>
      <c r="T13" s="7" t="s">
        <v>138</v>
      </c>
      <c r="U13" s="7" t="s">
        <v>139</v>
      </c>
      <c r="V13" s="7" t="s">
        <v>140</v>
      </c>
    </row>
    <row r="14" spans="1:22" ht="72" customHeight="1">
      <c r="A14" s="4">
        <v>9</v>
      </c>
      <c r="B14" s="5" t="s">
        <v>45</v>
      </c>
      <c r="C14" s="6" t="s">
        <v>141</v>
      </c>
      <c r="D14" s="6" t="s">
        <v>142</v>
      </c>
      <c r="E14" s="6" t="s">
        <v>119</v>
      </c>
      <c r="F14" s="7" t="s">
        <v>143</v>
      </c>
      <c r="G14" s="7" t="s">
        <v>144</v>
      </c>
      <c r="H14" s="7" t="s">
        <v>75</v>
      </c>
      <c r="I14" s="7" t="s">
        <v>145</v>
      </c>
      <c r="J14" s="7" t="s">
        <v>146</v>
      </c>
      <c r="K14" s="7" t="s">
        <v>147</v>
      </c>
      <c r="L14" s="7" t="s">
        <v>148</v>
      </c>
      <c r="M14" s="8">
        <v>5</v>
      </c>
      <c r="N14" s="8">
        <v>5</v>
      </c>
      <c r="O14" s="8">
        <v>3</v>
      </c>
      <c r="P14" s="8">
        <v>4</v>
      </c>
      <c r="Q14" s="8">
        <v>1</v>
      </c>
      <c r="R14" s="8">
        <f t="shared" si="0"/>
        <v>86</v>
      </c>
      <c r="S14" s="6" t="s">
        <v>92</v>
      </c>
      <c r="T14" s="7" t="s">
        <v>149</v>
      </c>
      <c r="U14" s="7" t="s">
        <v>147</v>
      </c>
      <c r="V14" s="7" t="s">
        <v>150</v>
      </c>
    </row>
    <row r="15" spans="1:22" ht="72" customHeight="1">
      <c r="A15" s="4">
        <v>10</v>
      </c>
      <c r="B15" s="5" t="s">
        <v>45</v>
      </c>
      <c r="C15" s="6" t="s">
        <v>151</v>
      </c>
      <c r="D15" s="6" t="s">
        <v>151</v>
      </c>
      <c r="E15" s="6" t="s">
        <v>152</v>
      </c>
      <c r="F15" s="7" t="s">
        <v>153</v>
      </c>
      <c r="G15" s="7" t="s">
        <v>154</v>
      </c>
      <c r="H15" s="7" t="s">
        <v>155</v>
      </c>
      <c r="I15" s="7" t="s">
        <v>156</v>
      </c>
      <c r="J15" s="7" t="s">
        <v>157</v>
      </c>
      <c r="K15" s="7" t="s">
        <v>158</v>
      </c>
      <c r="L15" s="7" t="s">
        <v>159</v>
      </c>
      <c r="M15" s="8">
        <v>5</v>
      </c>
      <c r="N15" s="8">
        <v>5</v>
      </c>
      <c r="O15" s="8">
        <v>4</v>
      </c>
      <c r="P15" s="8">
        <v>3</v>
      </c>
      <c r="Q15" s="8">
        <v>0</v>
      </c>
      <c r="R15" s="8">
        <f t="shared" si="0"/>
        <v>88</v>
      </c>
      <c r="S15" s="6" t="s">
        <v>56</v>
      </c>
      <c r="T15" s="7" t="s">
        <v>160</v>
      </c>
      <c r="U15" s="7" t="s">
        <v>161</v>
      </c>
      <c r="V15" s="7" t="s">
        <v>162</v>
      </c>
    </row>
    <row r="16" spans="1:22" ht="72" customHeight="1">
      <c r="A16" s="4">
        <v>11</v>
      </c>
      <c r="B16" s="5" t="s">
        <v>45</v>
      </c>
      <c r="C16" s="6" t="s">
        <v>163</v>
      </c>
      <c r="D16" s="6" t="s">
        <v>164</v>
      </c>
      <c r="E16" s="6" t="s">
        <v>165</v>
      </c>
      <c r="F16" s="7" t="s">
        <v>166</v>
      </c>
      <c r="G16" s="7" t="s">
        <v>167</v>
      </c>
      <c r="H16" s="7" t="s">
        <v>168</v>
      </c>
      <c r="I16" s="7" t="s">
        <v>169</v>
      </c>
      <c r="J16" s="7" t="s">
        <v>170</v>
      </c>
      <c r="K16" s="7" t="s">
        <v>171</v>
      </c>
      <c r="L16" s="7" t="s">
        <v>172</v>
      </c>
      <c r="M16" s="8">
        <v>5</v>
      </c>
      <c r="N16" s="8">
        <v>5</v>
      </c>
      <c r="O16" s="8">
        <v>5</v>
      </c>
      <c r="P16" s="8">
        <v>3</v>
      </c>
      <c r="Q16" s="8">
        <v>0</v>
      </c>
      <c r="R16" s="8">
        <f t="shared" si="0"/>
        <v>92</v>
      </c>
      <c r="S16" s="6" t="s">
        <v>56</v>
      </c>
      <c r="T16" s="7" t="s">
        <v>173</v>
      </c>
      <c r="U16" s="7" t="s">
        <v>174</v>
      </c>
      <c r="V16" s="7" t="s">
        <v>175</v>
      </c>
    </row>
    <row r="17" spans="1:22" ht="72" customHeight="1">
      <c r="A17" s="4">
        <v>12</v>
      </c>
      <c r="B17" s="5" t="s">
        <v>45</v>
      </c>
      <c r="C17" s="6" t="s">
        <v>176</v>
      </c>
      <c r="D17" s="6" t="s">
        <v>177</v>
      </c>
      <c r="E17" s="6" t="s">
        <v>152</v>
      </c>
      <c r="F17" s="7" t="s">
        <v>178</v>
      </c>
      <c r="G17" s="7" t="s">
        <v>179</v>
      </c>
      <c r="H17" s="7" t="s">
        <v>180</v>
      </c>
      <c r="I17" s="7" t="s">
        <v>181</v>
      </c>
      <c r="J17" s="7" t="s">
        <v>182</v>
      </c>
      <c r="K17" s="7" t="s">
        <v>183</v>
      </c>
      <c r="L17" s="7" t="s">
        <v>184</v>
      </c>
      <c r="M17" s="8">
        <v>5</v>
      </c>
      <c r="N17" s="8">
        <v>5</v>
      </c>
      <c r="O17" s="8">
        <v>5</v>
      </c>
      <c r="P17" s="8">
        <v>3</v>
      </c>
      <c r="Q17" s="8">
        <v>0</v>
      </c>
      <c r="R17" s="8">
        <f t="shared" si="0"/>
        <v>92</v>
      </c>
      <c r="S17" s="6" t="s">
        <v>56</v>
      </c>
      <c r="T17" s="7" t="s">
        <v>185</v>
      </c>
      <c r="U17" s="7" t="s">
        <v>186</v>
      </c>
      <c r="V17" s="7" t="s">
        <v>187</v>
      </c>
    </row>
    <row r="18" spans="1:22" ht="72" customHeight="1">
      <c r="A18" s="4">
        <v>13</v>
      </c>
      <c r="B18" s="5" t="s">
        <v>45</v>
      </c>
      <c r="C18" s="6" t="s">
        <v>188</v>
      </c>
      <c r="D18" s="6" t="s">
        <v>188</v>
      </c>
      <c r="E18" s="6" t="s">
        <v>152</v>
      </c>
      <c r="F18" s="7" t="s">
        <v>189</v>
      </c>
      <c r="G18" s="7" t="s">
        <v>190</v>
      </c>
      <c r="H18" s="7" t="s">
        <v>75</v>
      </c>
      <c r="I18" s="7" t="s">
        <v>191</v>
      </c>
      <c r="J18" s="7" t="s">
        <v>192</v>
      </c>
      <c r="K18" s="7" t="s">
        <v>193</v>
      </c>
      <c r="L18" s="7" t="s">
        <v>194</v>
      </c>
      <c r="M18" s="8">
        <v>5</v>
      </c>
      <c r="N18" s="8">
        <v>5</v>
      </c>
      <c r="O18" s="8">
        <v>3</v>
      </c>
      <c r="P18" s="8">
        <v>3</v>
      </c>
      <c r="Q18" s="8">
        <v>0</v>
      </c>
      <c r="R18" s="8">
        <f t="shared" si="0"/>
        <v>84</v>
      </c>
      <c r="S18" s="6" t="s">
        <v>92</v>
      </c>
      <c r="T18" s="7" t="s">
        <v>195</v>
      </c>
      <c r="U18" s="7" t="s">
        <v>193</v>
      </c>
      <c r="V18" s="7" t="s">
        <v>196</v>
      </c>
    </row>
    <row r="19" spans="1:22" ht="72" customHeight="1">
      <c r="A19" s="4">
        <v>14</v>
      </c>
      <c r="B19" s="5" t="s">
        <v>45</v>
      </c>
      <c r="C19" s="6" t="s">
        <v>197</v>
      </c>
      <c r="D19" s="6" t="s">
        <v>197</v>
      </c>
      <c r="E19" s="6" t="s">
        <v>198</v>
      </c>
      <c r="F19" s="7" t="s">
        <v>199</v>
      </c>
      <c r="G19" s="7" t="s">
        <v>200</v>
      </c>
      <c r="H19" s="7" t="s">
        <v>201</v>
      </c>
      <c r="I19" s="7" t="s">
        <v>202</v>
      </c>
      <c r="J19" s="7" t="s">
        <v>203</v>
      </c>
      <c r="K19" s="7" t="s">
        <v>204</v>
      </c>
      <c r="L19" s="7" t="s">
        <v>205</v>
      </c>
      <c r="M19" s="8">
        <v>5</v>
      </c>
      <c r="N19" s="8">
        <v>4</v>
      </c>
      <c r="O19" s="8">
        <v>4</v>
      </c>
      <c r="P19" s="8">
        <v>4</v>
      </c>
      <c r="Q19" s="8">
        <v>2</v>
      </c>
      <c r="R19" s="8">
        <f t="shared" si="0"/>
        <v>83</v>
      </c>
      <c r="S19" s="6" t="s">
        <v>56</v>
      </c>
      <c r="T19" s="7" t="s">
        <v>206</v>
      </c>
      <c r="U19" s="7" t="s">
        <v>207</v>
      </c>
      <c r="V19" s="7" t="s">
        <v>208</v>
      </c>
    </row>
    <row r="20" spans="1:22" ht="72" customHeight="1">
      <c r="A20" s="4">
        <v>15</v>
      </c>
      <c r="B20" s="5" t="s">
        <v>45</v>
      </c>
      <c r="C20" s="6" t="s">
        <v>209</v>
      </c>
      <c r="D20" s="6" t="s">
        <v>210</v>
      </c>
      <c r="E20" s="6" t="s">
        <v>198</v>
      </c>
      <c r="F20" s="7" t="s">
        <v>211</v>
      </c>
      <c r="G20" s="7" t="s">
        <v>212</v>
      </c>
      <c r="H20" s="7" t="s">
        <v>213</v>
      </c>
      <c r="I20" s="7" t="s">
        <v>214</v>
      </c>
      <c r="J20" s="7" t="s">
        <v>215</v>
      </c>
      <c r="K20" s="7" t="s">
        <v>216</v>
      </c>
      <c r="L20" s="7" t="s">
        <v>217</v>
      </c>
      <c r="M20" s="8">
        <v>5</v>
      </c>
      <c r="N20" s="8">
        <v>4</v>
      </c>
      <c r="O20" s="8">
        <v>5</v>
      </c>
      <c r="P20" s="8">
        <v>4</v>
      </c>
      <c r="Q20" s="8">
        <v>2</v>
      </c>
      <c r="R20" s="8">
        <f t="shared" si="0"/>
        <v>87</v>
      </c>
      <c r="S20" s="6" t="s">
        <v>56</v>
      </c>
      <c r="T20" s="7" t="s">
        <v>218</v>
      </c>
      <c r="U20" s="7" t="s">
        <v>219</v>
      </c>
      <c r="V20" s="7" t="s">
        <v>220</v>
      </c>
    </row>
    <row r="21" spans="1:22" ht="72" customHeight="1">
      <c r="A21" s="4">
        <v>16</v>
      </c>
      <c r="B21" s="5" t="s">
        <v>45</v>
      </c>
      <c r="C21" s="6" t="s">
        <v>221</v>
      </c>
      <c r="D21" s="6" t="s">
        <v>222</v>
      </c>
      <c r="E21" s="6" t="s">
        <v>223</v>
      </c>
      <c r="F21" s="7" t="s">
        <v>224</v>
      </c>
      <c r="G21" s="7" t="s">
        <v>225</v>
      </c>
      <c r="H21" s="7" t="s">
        <v>226</v>
      </c>
      <c r="I21" s="7" t="s">
        <v>227</v>
      </c>
      <c r="J21" s="7" t="s">
        <v>228</v>
      </c>
      <c r="K21" s="7" t="s">
        <v>229</v>
      </c>
      <c r="L21" s="7" t="s">
        <v>230</v>
      </c>
      <c r="M21" s="8">
        <v>5</v>
      </c>
      <c r="N21" s="8">
        <v>4</v>
      </c>
      <c r="O21" s="8">
        <v>4</v>
      </c>
      <c r="P21" s="8">
        <v>4</v>
      </c>
      <c r="Q21" s="8">
        <v>1</v>
      </c>
      <c r="R21" s="8">
        <f t="shared" si="0"/>
        <v>85</v>
      </c>
      <c r="S21" s="6" t="s">
        <v>56</v>
      </c>
      <c r="T21" s="7" t="s">
        <v>231</v>
      </c>
      <c r="U21" s="7" t="s">
        <v>232</v>
      </c>
      <c r="V21" s="7" t="s">
        <v>233</v>
      </c>
    </row>
    <row r="22" spans="1:22" ht="72" customHeight="1">
      <c r="A22" s="4">
        <v>17</v>
      </c>
      <c r="B22" s="5" t="s">
        <v>45</v>
      </c>
      <c r="C22" s="6" t="s">
        <v>234</v>
      </c>
      <c r="D22" s="6" t="s">
        <v>235</v>
      </c>
      <c r="E22" s="6" t="s">
        <v>236</v>
      </c>
      <c r="F22" s="7" t="s">
        <v>237</v>
      </c>
      <c r="G22" s="7" t="s">
        <v>238</v>
      </c>
      <c r="H22" s="7" t="s">
        <v>239</v>
      </c>
      <c r="I22" s="7" t="s">
        <v>240</v>
      </c>
      <c r="J22" s="7" t="s">
        <v>241</v>
      </c>
      <c r="K22" s="7" t="s">
        <v>242</v>
      </c>
      <c r="L22" s="7" t="s">
        <v>243</v>
      </c>
      <c r="M22" s="8">
        <v>5</v>
      </c>
      <c r="N22" s="8">
        <v>4</v>
      </c>
      <c r="O22" s="8">
        <v>4</v>
      </c>
      <c r="P22" s="8">
        <v>4</v>
      </c>
      <c r="Q22" s="8">
        <v>2</v>
      </c>
      <c r="R22" s="8">
        <f t="shared" si="0"/>
        <v>83</v>
      </c>
      <c r="S22" s="6" t="s">
        <v>56</v>
      </c>
      <c r="T22" s="7" t="s">
        <v>242</v>
      </c>
      <c r="U22" s="7" t="s">
        <v>242</v>
      </c>
      <c r="V22" s="7" t="s">
        <v>244</v>
      </c>
    </row>
    <row r="23" spans="1:22" ht="72" customHeight="1">
      <c r="A23" s="4">
        <v>18</v>
      </c>
      <c r="B23" s="5" t="s">
        <v>45</v>
      </c>
      <c r="C23" s="6" t="s">
        <v>245</v>
      </c>
      <c r="D23" s="6" t="s">
        <v>246</v>
      </c>
      <c r="E23" s="6" t="s">
        <v>223</v>
      </c>
      <c r="F23" s="7" t="s">
        <v>247</v>
      </c>
      <c r="G23" s="7" t="s">
        <v>248</v>
      </c>
      <c r="H23" s="7" t="s">
        <v>249</v>
      </c>
      <c r="I23" s="7" t="s">
        <v>250</v>
      </c>
      <c r="J23" s="7" t="s">
        <v>251</v>
      </c>
      <c r="K23" s="7" t="s">
        <v>252</v>
      </c>
      <c r="L23" s="7" t="s">
        <v>253</v>
      </c>
      <c r="M23" s="8">
        <v>5</v>
      </c>
      <c r="N23" s="8">
        <v>4</v>
      </c>
      <c r="O23" s="8">
        <v>3</v>
      </c>
      <c r="P23" s="8">
        <v>4</v>
      </c>
      <c r="Q23" s="8">
        <v>2</v>
      </c>
      <c r="R23" s="8">
        <f t="shared" si="0"/>
        <v>79</v>
      </c>
      <c r="S23" s="6" t="s">
        <v>56</v>
      </c>
      <c r="T23" s="7" t="s">
        <v>254</v>
      </c>
      <c r="U23" s="7" t="s">
        <v>255</v>
      </c>
      <c r="V23" s="7" t="s">
        <v>256</v>
      </c>
    </row>
    <row r="24" spans="1:22" ht="72" customHeight="1">
      <c r="A24" s="4">
        <v>19</v>
      </c>
      <c r="B24" s="5" t="s">
        <v>45</v>
      </c>
      <c r="C24" s="6" t="s">
        <v>257</v>
      </c>
      <c r="D24" s="6" t="s">
        <v>258</v>
      </c>
      <c r="E24" s="6" t="s">
        <v>223</v>
      </c>
      <c r="F24" s="7" t="s">
        <v>259</v>
      </c>
      <c r="G24" s="7" t="s">
        <v>260</v>
      </c>
      <c r="H24" s="7" t="s">
        <v>261</v>
      </c>
      <c r="I24" s="7" t="s">
        <v>262</v>
      </c>
      <c r="J24" s="7" t="s">
        <v>263</v>
      </c>
      <c r="K24" s="7" t="s">
        <v>264</v>
      </c>
      <c r="L24" s="7" t="s">
        <v>265</v>
      </c>
      <c r="M24" s="8">
        <v>4</v>
      </c>
      <c r="N24" s="8">
        <v>4</v>
      </c>
      <c r="O24" s="8">
        <v>5</v>
      </c>
      <c r="P24" s="8">
        <v>4</v>
      </c>
      <c r="Q24" s="8">
        <v>1</v>
      </c>
      <c r="R24" s="8">
        <f t="shared" si="0"/>
        <v>82</v>
      </c>
      <c r="S24" s="6" t="s">
        <v>56</v>
      </c>
      <c r="T24" s="7" t="s">
        <v>266</v>
      </c>
      <c r="U24" s="7" t="s">
        <v>266</v>
      </c>
      <c r="V24" s="7" t="s">
        <v>267</v>
      </c>
    </row>
    <row r="25" spans="1:22" ht="72" customHeight="1">
      <c r="A25" s="4">
        <v>20</v>
      </c>
      <c r="B25" s="5" t="s">
        <v>45</v>
      </c>
      <c r="C25" s="6" t="s">
        <v>268</v>
      </c>
      <c r="D25" s="6" t="s">
        <v>269</v>
      </c>
      <c r="E25" s="6" t="s">
        <v>270</v>
      </c>
      <c r="F25" s="7" t="s">
        <v>271</v>
      </c>
      <c r="G25" s="7" t="s">
        <v>132</v>
      </c>
      <c r="H25" s="7" t="s">
        <v>272</v>
      </c>
      <c r="I25" s="7" t="s">
        <v>273</v>
      </c>
      <c r="J25" s="7" t="s">
        <v>274</v>
      </c>
      <c r="K25" s="7" t="s">
        <v>275</v>
      </c>
      <c r="L25" s="7" t="s">
        <v>276</v>
      </c>
      <c r="M25" s="8">
        <v>5</v>
      </c>
      <c r="N25" s="8">
        <v>4</v>
      </c>
      <c r="O25" s="8">
        <v>3</v>
      </c>
      <c r="P25" s="8">
        <v>4</v>
      </c>
      <c r="Q25" s="8">
        <v>3</v>
      </c>
      <c r="R25" s="8">
        <f t="shared" si="0"/>
        <v>77</v>
      </c>
      <c r="S25" s="6" t="s">
        <v>56</v>
      </c>
      <c r="T25" s="7" t="s">
        <v>277</v>
      </c>
      <c r="U25" s="7" t="s">
        <v>278</v>
      </c>
      <c r="V25" s="7" t="s">
        <v>279</v>
      </c>
    </row>
    <row r="26" spans="1:22" ht="72" customHeight="1">
      <c r="A26" s="4">
        <v>21</v>
      </c>
      <c r="B26" s="5" t="s">
        <v>45</v>
      </c>
      <c r="C26" s="6" t="s">
        <v>280</v>
      </c>
      <c r="D26" s="6" t="s">
        <v>281</v>
      </c>
      <c r="E26" s="6" t="s">
        <v>270</v>
      </c>
      <c r="F26" s="7" t="s">
        <v>282</v>
      </c>
      <c r="G26" s="7" t="s">
        <v>283</v>
      </c>
      <c r="H26" s="7" t="s">
        <v>284</v>
      </c>
      <c r="I26" s="7" t="s">
        <v>285</v>
      </c>
      <c r="J26" s="7" t="s">
        <v>286</v>
      </c>
      <c r="K26" s="7" t="s">
        <v>287</v>
      </c>
      <c r="L26" s="7" t="s">
        <v>288</v>
      </c>
      <c r="M26" s="8">
        <v>5</v>
      </c>
      <c r="N26" s="8">
        <v>5</v>
      </c>
      <c r="O26" s="8">
        <v>3</v>
      </c>
      <c r="P26" s="8">
        <v>3</v>
      </c>
      <c r="Q26" s="8">
        <v>4</v>
      </c>
      <c r="R26" s="8">
        <f t="shared" si="0"/>
        <v>76</v>
      </c>
      <c r="S26" s="6" t="s">
        <v>56</v>
      </c>
      <c r="T26" s="7" t="s">
        <v>289</v>
      </c>
      <c r="U26" s="7" t="s">
        <v>287</v>
      </c>
      <c r="V26" s="7" t="s">
        <v>290</v>
      </c>
    </row>
    <row r="27" spans="1:22" ht="72" customHeight="1">
      <c r="A27" s="4">
        <v>22</v>
      </c>
      <c r="B27" s="5" t="s">
        <v>45</v>
      </c>
      <c r="C27" s="6" t="s">
        <v>291</v>
      </c>
      <c r="D27" s="6" t="s">
        <v>292</v>
      </c>
      <c r="E27" s="6" t="s">
        <v>293</v>
      </c>
      <c r="F27" s="7" t="s">
        <v>294</v>
      </c>
      <c r="G27" s="7" t="s">
        <v>295</v>
      </c>
      <c r="H27" s="7" t="s">
        <v>296</v>
      </c>
      <c r="I27" s="7" t="s">
        <v>297</v>
      </c>
      <c r="J27" s="7" t="s">
        <v>298</v>
      </c>
      <c r="K27" s="7" t="s">
        <v>299</v>
      </c>
      <c r="L27" s="7" t="s">
        <v>300</v>
      </c>
      <c r="M27" s="8">
        <v>5</v>
      </c>
      <c r="N27" s="8">
        <v>4</v>
      </c>
      <c r="O27" s="8">
        <v>4</v>
      </c>
      <c r="P27" s="8">
        <v>3</v>
      </c>
      <c r="Q27" s="8">
        <v>3</v>
      </c>
      <c r="R27" s="8">
        <f t="shared" si="0"/>
        <v>77</v>
      </c>
      <c r="S27" s="6" t="s">
        <v>56</v>
      </c>
      <c r="T27" s="7" t="s">
        <v>301</v>
      </c>
      <c r="U27" s="7" t="s">
        <v>302</v>
      </c>
      <c r="V27" s="7" t="s">
        <v>303</v>
      </c>
    </row>
    <row r="28" spans="1:22" ht="72" customHeight="1">
      <c r="A28" s="4">
        <v>23</v>
      </c>
      <c r="B28" s="5" t="s">
        <v>45</v>
      </c>
      <c r="C28" s="6" t="s">
        <v>304</v>
      </c>
      <c r="D28" s="6" t="s">
        <v>305</v>
      </c>
      <c r="E28" s="6" t="s">
        <v>306</v>
      </c>
      <c r="F28" s="7" t="s">
        <v>307</v>
      </c>
      <c r="G28" s="7" t="s">
        <v>308</v>
      </c>
      <c r="H28" s="7" t="s">
        <v>309</v>
      </c>
      <c r="I28" s="7" t="s">
        <v>310</v>
      </c>
      <c r="J28" s="7" t="s">
        <v>311</v>
      </c>
      <c r="K28" s="7" t="s">
        <v>312</v>
      </c>
      <c r="L28" s="7" t="s">
        <v>313</v>
      </c>
      <c r="M28" s="8">
        <v>4</v>
      </c>
      <c r="N28" s="8">
        <v>4</v>
      </c>
      <c r="O28" s="8">
        <v>5</v>
      </c>
      <c r="P28" s="8">
        <v>4</v>
      </c>
      <c r="Q28" s="8">
        <v>2</v>
      </c>
      <c r="R28" s="8">
        <f t="shared" si="0"/>
        <v>80</v>
      </c>
      <c r="S28" s="6" t="s">
        <v>56</v>
      </c>
      <c r="T28" s="7" t="s">
        <v>314</v>
      </c>
      <c r="U28" s="7" t="s">
        <v>312</v>
      </c>
      <c r="V28" s="7" t="s">
        <v>315</v>
      </c>
    </row>
    <row r="29" spans="1:22" ht="72" customHeight="1">
      <c r="A29" s="4">
        <v>24</v>
      </c>
      <c r="B29" s="5" t="s">
        <v>45</v>
      </c>
      <c r="C29" s="6" t="s">
        <v>316</v>
      </c>
      <c r="D29" s="6" t="s">
        <v>317</v>
      </c>
      <c r="E29" s="6" t="s">
        <v>198</v>
      </c>
      <c r="F29" s="7" t="s">
        <v>318</v>
      </c>
      <c r="G29" s="7" t="s">
        <v>319</v>
      </c>
      <c r="H29" s="7" t="s">
        <v>320</v>
      </c>
      <c r="I29" s="7" t="s">
        <v>321</v>
      </c>
      <c r="J29" s="7" t="s">
        <v>322</v>
      </c>
      <c r="K29" s="7" t="s">
        <v>323</v>
      </c>
      <c r="L29" s="7" t="s">
        <v>324</v>
      </c>
      <c r="M29" s="8">
        <v>5</v>
      </c>
      <c r="N29" s="8">
        <v>4</v>
      </c>
      <c r="O29" s="8">
        <v>4</v>
      </c>
      <c r="P29" s="8">
        <v>3</v>
      </c>
      <c r="Q29" s="8">
        <v>2</v>
      </c>
      <c r="R29" s="8">
        <f t="shared" si="0"/>
        <v>79</v>
      </c>
      <c r="S29" s="6" t="s">
        <v>56</v>
      </c>
      <c r="T29" s="7" t="s">
        <v>325</v>
      </c>
      <c r="U29" s="7" t="s">
        <v>325</v>
      </c>
      <c r="V29" s="7" t="s">
        <v>326</v>
      </c>
    </row>
    <row r="30" spans="1:22" ht="72" customHeight="1">
      <c r="A30" s="4">
        <v>25</v>
      </c>
      <c r="B30" s="5" t="s">
        <v>45</v>
      </c>
      <c r="C30" s="6" t="s">
        <v>327</v>
      </c>
      <c r="D30" s="6" t="s">
        <v>327</v>
      </c>
      <c r="E30" s="6" t="s">
        <v>328</v>
      </c>
      <c r="F30" s="7" t="s">
        <v>329</v>
      </c>
      <c r="G30" s="7" t="s">
        <v>330</v>
      </c>
      <c r="H30" s="7" t="s">
        <v>331</v>
      </c>
      <c r="I30" s="7" t="s">
        <v>332</v>
      </c>
      <c r="J30" s="7" t="s">
        <v>333</v>
      </c>
      <c r="K30" s="7" t="s">
        <v>334</v>
      </c>
      <c r="L30" s="7" t="s">
        <v>335</v>
      </c>
      <c r="M30" s="8">
        <v>4</v>
      </c>
      <c r="N30" s="8">
        <v>4</v>
      </c>
      <c r="O30" s="8">
        <v>4</v>
      </c>
      <c r="P30" s="8">
        <v>4</v>
      </c>
      <c r="Q30" s="8">
        <v>1</v>
      </c>
      <c r="R30" s="8">
        <f t="shared" si="0"/>
        <v>78</v>
      </c>
      <c r="S30" s="6" t="s">
        <v>56</v>
      </c>
      <c r="T30" s="7" t="s">
        <v>336</v>
      </c>
      <c r="U30" s="7" t="s">
        <v>334</v>
      </c>
      <c r="V30" s="7" t="s">
        <v>337</v>
      </c>
    </row>
    <row r="31" spans="1:22" ht="72" customHeight="1">
      <c r="A31" s="9">
        <v>26</v>
      </c>
      <c r="B31" s="10" t="s">
        <v>338</v>
      </c>
      <c r="C31" s="6" t="s">
        <v>339</v>
      </c>
      <c r="D31" s="6" t="s">
        <v>340</v>
      </c>
      <c r="E31" s="6" t="s">
        <v>223</v>
      </c>
      <c r="F31" s="7" t="s">
        <v>341</v>
      </c>
      <c r="G31" s="7" t="s">
        <v>342</v>
      </c>
      <c r="H31" s="7" t="s">
        <v>343</v>
      </c>
      <c r="I31" s="7" t="s">
        <v>344</v>
      </c>
      <c r="J31" s="7" t="s">
        <v>345</v>
      </c>
      <c r="K31" s="7" t="s">
        <v>346</v>
      </c>
      <c r="L31" s="7" t="s">
        <v>347</v>
      </c>
      <c r="M31" s="8">
        <v>4</v>
      </c>
      <c r="N31" s="8">
        <v>4</v>
      </c>
      <c r="O31" s="8">
        <v>4</v>
      </c>
      <c r="P31" s="8">
        <v>3</v>
      </c>
      <c r="Q31" s="8">
        <v>1</v>
      </c>
      <c r="R31" s="8">
        <f t="shared" si="0"/>
        <v>74</v>
      </c>
      <c r="S31" s="6" t="s">
        <v>56</v>
      </c>
      <c r="T31" s="7" t="s">
        <v>348</v>
      </c>
      <c r="U31" s="7" t="s">
        <v>346</v>
      </c>
      <c r="V31" s="7" t="s">
        <v>349</v>
      </c>
    </row>
    <row r="32" spans="1:22" ht="72" customHeight="1">
      <c r="A32" s="9">
        <v>27</v>
      </c>
      <c r="B32" s="10" t="s">
        <v>338</v>
      </c>
      <c r="C32" s="6" t="s">
        <v>350</v>
      </c>
      <c r="D32" s="6" t="s">
        <v>351</v>
      </c>
      <c r="E32" s="6" t="s">
        <v>223</v>
      </c>
      <c r="F32" s="7" t="s">
        <v>352</v>
      </c>
      <c r="G32" s="7" t="s">
        <v>353</v>
      </c>
      <c r="H32" s="7" t="s">
        <v>354</v>
      </c>
      <c r="I32" s="7" t="s">
        <v>355</v>
      </c>
      <c r="J32" s="7" t="s">
        <v>356</v>
      </c>
      <c r="K32" s="7" t="s">
        <v>357</v>
      </c>
      <c r="L32" s="7" t="s">
        <v>358</v>
      </c>
      <c r="M32" s="8">
        <v>5</v>
      </c>
      <c r="N32" s="8">
        <v>4</v>
      </c>
      <c r="O32" s="8">
        <v>4</v>
      </c>
      <c r="P32" s="8">
        <v>2</v>
      </c>
      <c r="Q32" s="8">
        <v>2</v>
      </c>
      <c r="R32" s="8">
        <f t="shared" si="0"/>
        <v>75</v>
      </c>
      <c r="S32" s="6" t="s">
        <v>56</v>
      </c>
      <c r="T32" s="7" t="s">
        <v>359</v>
      </c>
      <c r="U32" s="7" t="s">
        <v>360</v>
      </c>
      <c r="V32" s="7" t="s">
        <v>361</v>
      </c>
    </row>
    <row r="33" spans="1:22" ht="72" customHeight="1">
      <c r="A33" s="9">
        <v>28</v>
      </c>
      <c r="B33" s="10" t="s">
        <v>338</v>
      </c>
      <c r="C33" s="6" t="s">
        <v>362</v>
      </c>
      <c r="D33" s="6" t="s">
        <v>363</v>
      </c>
      <c r="E33" s="6" t="s">
        <v>198</v>
      </c>
      <c r="F33" s="7" t="s">
        <v>364</v>
      </c>
      <c r="G33" s="7" t="s">
        <v>365</v>
      </c>
      <c r="H33" s="7" t="s">
        <v>366</v>
      </c>
      <c r="I33" s="7" t="s">
        <v>367</v>
      </c>
      <c r="J33" s="7" t="s">
        <v>368</v>
      </c>
      <c r="K33" s="7" t="s">
        <v>369</v>
      </c>
      <c r="L33" s="7" t="s">
        <v>370</v>
      </c>
      <c r="M33" s="8">
        <v>5</v>
      </c>
      <c r="N33" s="8">
        <v>4</v>
      </c>
      <c r="O33" s="8">
        <v>4</v>
      </c>
      <c r="P33" s="8">
        <v>3</v>
      </c>
      <c r="Q33" s="8">
        <v>4</v>
      </c>
      <c r="R33" s="8">
        <f t="shared" si="0"/>
        <v>75</v>
      </c>
      <c r="S33" s="6" t="s">
        <v>56</v>
      </c>
      <c r="T33" s="7" t="s">
        <v>371</v>
      </c>
      <c r="U33" s="7" t="s">
        <v>369</v>
      </c>
      <c r="V33" s="7" t="s">
        <v>372</v>
      </c>
    </row>
    <row r="34" spans="1:22" ht="72" customHeight="1">
      <c r="A34" s="9">
        <v>29</v>
      </c>
      <c r="B34" s="10" t="s">
        <v>338</v>
      </c>
      <c r="C34" s="6" t="s">
        <v>373</v>
      </c>
      <c r="D34" s="6" t="s">
        <v>374</v>
      </c>
      <c r="E34" s="6" t="s">
        <v>198</v>
      </c>
      <c r="F34" s="7" t="s">
        <v>375</v>
      </c>
      <c r="G34" s="7" t="s">
        <v>376</v>
      </c>
      <c r="H34" s="7" t="s">
        <v>377</v>
      </c>
      <c r="I34" s="7" t="s">
        <v>378</v>
      </c>
      <c r="J34" s="7" t="s">
        <v>379</v>
      </c>
      <c r="K34" s="7" t="s">
        <v>380</v>
      </c>
      <c r="L34" s="7" t="s">
        <v>381</v>
      </c>
      <c r="M34" s="8">
        <v>5</v>
      </c>
      <c r="N34" s="8">
        <v>4</v>
      </c>
      <c r="O34" s="8">
        <v>4</v>
      </c>
      <c r="P34" s="8">
        <v>3</v>
      </c>
      <c r="Q34" s="8">
        <v>4</v>
      </c>
      <c r="R34" s="8">
        <f t="shared" si="0"/>
        <v>75</v>
      </c>
      <c r="S34" s="6" t="s">
        <v>56</v>
      </c>
      <c r="T34" s="7" t="s">
        <v>382</v>
      </c>
      <c r="U34" s="7" t="s">
        <v>383</v>
      </c>
      <c r="V34" s="7" t="s">
        <v>384</v>
      </c>
    </row>
    <row r="35" spans="1:22" ht="72" customHeight="1">
      <c r="A35" s="9">
        <v>30</v>
      </c>
      <c r="B35" s="10" t="s">
        <v>338</v>
      </c>
      <c r="C35" s="6" t="s">
        <v>385</v>
      </c>
      <c r="D35" s="6" t="s">
        <v>385</v>
      </c>
      <c r="E35" s="6" t="s">
        <v>386</v>
      </c>
      <c r="F35" s="7" t="s">
        <v>387</v>
      </c>
      <c r="G35" s="7" t="s">
        <v>388</v>
      </c>
      <c r="H35" s="7" t="s">
        <v>389</v>
      </c>
      <c r="I35" s="7" t="s">
        <v>390</v>
      </c>
      <c r="J35" s="7" t="s">
        <v>391</v>
      </c>
      <c r="K35" s="7" t="s">
        <v>392</v>
      </c>
      <c r="L35" s="7" t="s">
        <v>393</v>
      </c>
      <c r="M35" s="8">
        <v>5</v>
      </c>
      <c r="N35" s="8">
        <v>3</v>
      </c>
      <c r="O35" s="8">
        <v>5</v>
      </c>
      <c r="P35" s="8">
        <v>4</v>
      </c>
      <c r="Q35" s="8">
        <v>5</v>
      </c>
      <c r="R35" s="8">
        <f t="shared" si="0"/>
        <v>76</v>
      </c>
      <c r="S35" s="6" t="s">
        <v>56</v>
      </c>
      <c r="T35" s="7" t="s">
        <v>394</v>
      </c>
      <c r="U35" s="7" t="s">
        <v>395</v>
      </c>
      <c r="V35" s="7" t="s">
        <v>396</v>
      </c>
    </row>
    <row r="36" spans="1:22" ht="72" customHeight="1">
      <c r="A36" s="9">
        <v>31</v>
      </c>
      <c r="B36" s="10" t="s">
        <v>338</v>
      </c>
      <c r="C36" s="6" t="s">
        <v>397</v>
      </c>
      <c r="D36" s="6" t="s">
        <v>397</v>
      </c>
      <c r="E36" s="6" t="s">
        <v>398</v>
      </c>
      <c r="F36" s="7" t="s">
        <v>399</v>
      </c>
      <c r="G36" s="7" t="s">
        <v>400</v>
      </c>
      <c r="H36" s="7" t="s">
        <v>401</v>
      </c>
      <c r="I36" s="7" t="s">
        <v>402</v>
      </c>
      <c r="J36" s="7" t="s">
        <v>403</v>
      </c>
      <c r="K36" s="7" t="s">
        <v>404</v>
      </c>
      <c r="L36" s="7" t="s">
        <v>405</v>
      </c>
      <c r="M36" s="8">
        <v>4</v>
      </c>
      <c r="N36" s="8">
        <v>3</v>
      </c>
      <c r="O36" s="8">
        <v>5</v>
      </c>
      <c r="P36" s="8">
        <v>4</v>
      </c>
      <c r="Q36" s="8">
        <v>4</v>
      </c>
      <c r="R36" s="8">
        <f t="shared" si="0"/>
        <v>71</v>
      </c>
      <c r="S36" s="6" t="s">
        <v>56</v>
      </c>
      <c r="T36" s="7" t="s">
        <v>406</v>
      </c>
      <c r="U36" s="7" t="s">
        <v>407</v>
      </c>
      <c r="V36" s="7" t="s">
        <v>408</v>
      </c>
    </row>
    <row r="37" spans="1:22" ht="72" customHeight="1">
      <c r="A37" s="9">
        <v>32</v>
      </c>
      <c r="B37" s="10" t="s">
        <v>338</v>
      </c>
      <c r="C37" s="6" t="s">
        <v>409</v>
      </c>
      <c r="D37" s="6" t="s">
        <v>409</v>
      </c>
      <c r="E37" s="6" t="s">
        <v>410</v>
      </c>
      <c r="F37" s="7" t="s">
        <v>411</v>
      </c>
      <c r="G37" s="7" t="s">
        <v>412</v>
      </c>
      <c r="H37" s="7" t="s">
        <v>413</v>
      </c>
      <c r="I37" s="7" t="s">
        <v>414</v>
      </c>
      <c r="J37" s="7" t="s">
        <v>415</v>
      </c>
      <c r="K37" s="7" t="s">
        <v>416</v>
      </c>
      <c r="L37" s="7" t="s">
        <v>417</v>
      </c>
      <c r="M37" s="8">
        <v>3</v>
      </c>
      <c r="N37" s="8">
        <v>3</v>
      </c>
      <c r="O37" s="8">
        <v>5</v>
      </c>
      <c r="P37" s="8">
        <v>4</v>
      </c>
      <c r="Q37" s="8">
        <v>3</v>
      </c>
      <c r="R37" s="8">
        <f t="shared" si="0"/>
        <v>66</v>
      </c>
      <c r="S37" s="6" t="s">
        <v>56</v>
      </c>
      <c r="T37" s="7" t="s">
        <v>416</v>
      </c>
      <c r="U37" s="7" t="s">
        <v>418</v>
      </c>
      <c r="V37" s="7" t="s">
        <v>419</v>
      </c>
    </row>
    <row r="38" spans="1:22" ht="72" customHeight="1">
      <c r="A38" s="9">
        <v>33</v>
      </c>
      <c r="B38" s="10" t="s">
        <v>338</v>
      </c>
      <c r="C38" s="6" t="s">
        <v>420</v>
      </c>
      <c r="D38" s="6" t="s">
        <v>421</v>
      </c>
      <c r="E38" s="6" t="s">
        <v>386</v>
      </c>
      <c r="F38" s="7" t="s">
        <v>422</v>
      </c>
      <c r="G38" s="7" t="s">
        <v>388</v>
      </c>
      <c r="H38" s="7" t="s">
        <v>423</v>
      </c>
      <c r="I38" s="7" t="s">
        <v>424</v>
      </c>
      <c r="J38" s="7" t="s">
        <v>425</v>
      </c>
      <c r="K38" s="7" t="s">
        <v>426</v>
      </c>
      <c r="L38" s="7" t="s">
        <v>427</v>
      </c>
      <c r="M38" s="8">
        <v>5</v>
      </c>
      <c r="N38" s="8">
        <v>3</v>
      </c>
      <c r="O38" s="8">
        <v>3</v>
      </c>
      <c r="P38" s="8">
        <v>3</v>
      </c>
      <c r="Q38" s="8">
        <v>5</v>
      </c>
      <c r="R38" s="8">
        <f t="shared" si="0"/>
        <v>64</v>
      </c>
      <c r="S38" s="6" t="s">
        <v>92</v>
      </c>
      <c r="T38" s="7" t="s">
        <v>426</v>
      </c>
      <c r="U38" s="7" t="s">
        <v>428</v>
      </c>
      <c r="V38" s="7" t="s">
        <v>429</v>
      </c>
    </row>
    <row r="39" spans="1:22" ht="72" customHeight="1">
      <c r="A39" s="9">
        <v>34</v>
      </c>
      <c r="B39" s="10" t="s">
        <v>338</v>
      </c>
      <c r="C39" s="6" t="s">
        <v>430</v>
      </c>
      <c r="D39" s="6" t="s">
        <v>431</v>
      </c>
      <c r="E39" s="6" t="s">
        <v>432</v>
      </c>
      <c r="F39" s="7" t="s">
        <v>433</v>
      </c>
      <c r="G39" s="7" t="s">
        <v>434</v>
      </c>
      <c r="H39" s="7" t="s">
        <v>435</v>
      </c>
      <c r="I39" s="7" t="s">
        <v>436</v>
      </c>
      <c r="J39" s="7" t="s">
        <v>437</v>
      </c>
      <c r="K39" s="7" t="s">
        <v>438</v>
      </c>
      <c r="L39" s="7" t="s">
        <v>439</v>
      </c>
      <c r="M39" s="8">
        <v>3</v>
      </c>
      <c r="N39" s="8">
        <v>3</v>
      </c>
      <c r="O39" s="8">
        <v>4</v>
      </c>
      <c r="P39" s="8">
        <v>3</v>
      </c>
      <c r="Q39" s="8">
        <v>4</v>
      </c>
      <c r="R39" s="8">
        <f t="shared" si="0"/>
        <v>56</v>
      </c>
      <c r="S39" s="6" t="s">
        <v>92</v>
      </c>
      <c r="T39" s="7" t="s">
        <v>438</v>
      </c>
      <c r="U39" s="7" t="s">
        <v>440</v>
      </c>
      <c r="V39" s="7" t="s">
        <v>441</v>
      </c>
    </row>
    <row r="40" spans="1:22" ht="72" customHeight="1">
      <c r="A40" s="9">
        <v>35</v>
      </c>
      <c r="B40" s="10" t="s">
        <v>338</v>
      </c>
      <c r="C40" s="6" t="s">
        <v>442</v>
      </c>
      <c r="D40" s="6" t="s">
        <v>443</v>
      </c>
      <c r="E40" s="6" t="s">
        <v>223</v>
      </c>
      <c r="F40" s="7" t="s">
        <v>444</v>
      </c>
      <c r="G40" s="7" t="s">
        <v>445</v>
      </c>
      <c r="H40" s="7" t="s">
        <v>446</v>
      </c>
      <c r="I40" s="7" t="s">
        <v>447</v>
      </c>
      <c r="J40" s="7" t="s">
        <v>448</v>
      </c>
      <c r="K40" s="7" t="s">
        <v>449</v>
      </c>
      <c r="L40" s="7" t="s">
        <v>450</v>
      </c>
      <c r="M40" s="8">
        <v>3</v>
      </c>
      <c r="N40" s="8">
        <v>4</v>
      </c>
      <c r="O40" s="8">
        <v>3</v>
      </c>
      <c r="P40" s="8">
        <v>2</v>
      </c>
      <c r="Q40" s="8">
        <v>2</v>
      </c>
      <c r="R40" s="8">
        <f t="shared" si="0"/>
        <v>57</v>
      </c>
      <c r="S40" s="6" t="s">
        <v>56</v>
      </c>
      <c r="T40" s="7" t="s">
        <v>449</v>
      </c>
      <c r="U40" s="7" t="s">
        <v>449</v>
      </c>
      <c r="V40" s="7" t="s">
        <v>451</v>
      </c>
    </row>
    <row r="41" spans="1:22" ht="72" customHeight="1">
      <c r="A41" s="9">
        <v>36</v>
      </c>
      <c r="B41" s="10" t="s">
        <v>338</v>
      </c>
      <c r="C41" s="6" t="s">
        <v>452</v>
      </c>
      <c r="D41" s="6" t="s">
        <v>452</v>
      </c>
      <c r="E41" s="6" t="s">
        <v>453</v>
      </c>
      <c r="F41" s="7" t="s">
        <v>454</v>
      </c>
      <c r="G41" s="7" t="s">
        <v>455</v>
      </c>
      <c r="H41" s="7" t="s">
        <v>456</v>
      </c>
      <c r="I41" s="7" t="s">
        <v>457</v>
      </c>
      <c r="J41" s="7" t="s">
        <v>458</v>
      </c>
      <c r="K41" s="7" t="s">
        <v>459</v>
      </c>
      <c r="L41" s="7" t="s">
        <v>460</v>
      </c>
      <c r="M41" s="8">
        <v>4</v>
      </c>
      <c r="N41" s="8">
        <v>3</v>
      </c>
      <c r="O41" s="8">
        <v>3</v>
      </c>
      <c r="P41" s="8">
        <v>2</v>
      </c>
      <c r="Q41" s="8">
        <v>5</v>
      </c>
      <c r="R41" s="8">
        <f t="shared" si="0"/>
        <v>53</v>
      </c>
      <c r="S41" s="6" t="s">
        <v>56</v>
      </c>
      <c r="T41" s="7" t="s">
        <v>461</v>
      </c>
      <c r="U41" s="7" t="s">
        <v>462</v>
      </c>
      <c r="V41" s="7" t="s">
        <v>463</v>
      </c>
    </row>
    <row r="42" spans="1:22" ht="72" customHeight="1">
      <c r="A42" s="9">
        <v>37</v>
      </c>
      <c r="B42" s="10" t="s">
        <v>338</v>
      </c>
      <c r="C42" s="6" t="s">
        <v>464</v>
      </c>
      <c r="D42" s="6" t="s">
        <v>464</v>
      </c>
      <c r="E42" s="6" t="s">
        <v>465</v>
      </c>
      <c r="F42" s="7" t="s">
        <v>466</v>
      </c>
      <c r="G42" s="7" t="s">
        <v>467</v>
      </c>
      <c r="H42" s="7" t="s">
        <v>468</v>
      </c>
      <c r="I42" s="7" t="s">
        <v>214</v>
      </c>
      <c r="J42" s="7" t="s">
        <v>469</v>
      </c>
      <c r="K42" s="7" t="s">
        <v>470</v>
      </c>
      <c r="L42" s="7" t="s">
        <v>471</v>
      </c>
      <c r="M42" s="8">
        <v>3</v>
      </c>
      <c r="N42" s="8">
        <v>3</v>
      </c>
      <c r="O42" s="8">
        <v>4</v>
      </c>
      <c r="P42" s="8">
        <v>3</v>
      </c>
      <c r="Q42" s="8">
        <v>3</v>
      </c>
      <c r="R42" s="8">
        <f t="shared" si="0"/>
        <v>58</v>
      </c>
      <c r="S42" s="6" t="s">
        <v>56</v>
      </c>
      <c r="T42" s="7" t="s">
        <v>472</v>
      </c>
      <c r="U42" s="7" t="s">
        <v>470</v>
      </c>
      <c r="V42" s="7" t="s">
        <v>473</v>
      </c>
    </row>
    <row r="43" spans="1:22" ht="72" customHeight="1">
      <c r="A43" s="9">
        <v>38</v>
      </c>
      <c r="B43" s="10" t="s">
        <v>338</v>
      </c>
      <c r="C43" s="6" t="s">
        <v>474</v>
      </c>
      <c r="D43" s="6" t="s">
        <v>474</v>
      </c>
      <c r="E43" s="6" t="s">
        <v>453</v>
      </c>
      <c r="F43" s="7" t="s">
        <v>475</v>
      </c>
      <c r="G43" s="7" t="s">
        <v>476</v>
      </c>
      <c r="H43" s="7" t="s">
        <v>477</v>
      </c>
      <c r="I43" s="7" t="s">
        <v>478</v>
      </c>
      <c r="J43" s="7" t="s">
        <v>479</v>
      </c>
      <c r="K43" s="7" t="s">
        <v>480</v>
      </c>
      <c r="L43" s="7" t="s">
        <v>481</v>
      </c>
      <c r="M43" s="8">
        <v>3</v>
      </c>
      <c r="N43" s="8">
        <v>3</v>
      </c>
      <c r="O43" s="8">
        <v>4</v>
      </c>
      <c r="P43" s="8">
        <v>3</v>
      </c>
      <c r="Q43" s="8">
        <v>4</v>
      </c>
      <c r="R43" s="8">
        <f t="shared" si="0"/>
        <v>56</v>
      </c>
      <c r="S43" s="6" t="s">
        <v>92</v>
      </c>
      <c r="T43" s="7" t="s">
        <v>480</v>
      </c>
      <c r="U43" s="7" t="s">
        <v>480</v>
      </c>
      <c r="V43" s="7" t="s">
        <v>482</v>
      </c>
    </row>
    <row r="44" spans="1:22" ht="72" customHeight="1">
      <c r="A44" s="9">
        <v>39</v>
      </c>
      <c r="B44" s="10" t="s">
        <v>338</v>
      </c>
      <c r="C44" s="6" t="s">
        <v>483</v>
      </c>
      <c r="D44" s="6" t="s">
        <v>484</v>
      </c>
      <c r="E44" s="6" t="s">
        <v>223</v>
      </c>
      <c r="F44" s="7" t="s">
        <v>485</v>
      </c>
      <c r="G44" s="7" t="s">
        <v>486</v>
      </c>
      <c r="H44" s="7" t="s">
        <v>487</v>
      </c>
      <c r="I44" s="7" t="s">
        <v>488</v>
      </c>
      <c r="J44" s="7" t="s">
        <v>489</v>
      </c>
      <c r="K44" s="7" t="s">
        <v>490</v>
      </c>
      <c r="L44" s="7" t="s">
        <v>491</v>
      </c>
      <c r="M44" s="8">
        <v>5</v>
      </c>
      <c r="N44" s="8">
        <v>4</v>
      </c>
      <c r="O44" s="8">
        <v>2</v>
      </c>
      <c r="P44" s="8">
        <v>2</v>
      </c>
      <c r="Q44" s="8">
        <v>4</v>
      </c>
      <c r="R44" s="8">
        <f t="shared" si="0"/>
        <v>63</v>
      </c>
      <c r="S44" s="6" t="s">
        <v>56</v>
      </c>
      <c r="T44" s="7" t="s">
        <v>490</v>
      </c>
      <c r="U44" s="7" t="s">
        <v>492</v>
      </c>
      <c r="V44" s="7" t="s">
        <v>493</v>
      </c>
    </row>
    <row r="45" spans="1:22" ht="72" customHeight="1">
      <c r="A45" s="11">
        <v>40</v>
      </c>
      <c r="B45" s="12" t="s">
        <v>338</v>
      </c>
      <c r="C45" s="13" t="s">
        <v>494</v>
      </c>
      <c r="D45" s="13" t="s">
        <v>495</v>
      </c>
      <c r="E45" s="13" t="s">
        <v>496</v>
      </c>
      <c r="F45" s="14" t="s">
        <v>497</v>
      </c>
      <c r="G45" s="14" t="s">
        <v>498</v>
      </c>
      <c r="H45" s="14" t="s">
        <v>499</v>
      </c>
      <c r="I45" s="14" t="s">
        <v>500</v>
      </c>
      <c r="J45" s="14" t="s">
        <v>501</v>
      </c>
      <c r="K45" s="14" t="s">
        <v>502</v>
      </c>
      <c r="L45" s="14" t="s">
        <v>503</v>
      </c>
      <c r="M45" s="15">
        <v>4</v>
      </c>
      <c r="N45" s="15">
        <v>4</v>
      </c>
      <c r="O45" s="15">
        <v>2</v>
      </c>
      <c r="P45" s="15">
        <v>2</v>
      </c>
      <c r="Q45" s="15">
        <v>3</v>
      </c>
      <c r="R45" s="15">
        <f t="shared" si="0"/>
        <v>58</v>
      </c>
      <c r="S45" s="13" t="s">
        <v>56</v>
      </c>
      <c r="T45" s="14" t="s">
        <v>504</v>
      </c>
      <c r="U45" s="14" t="s">
        <v>502</v>
      </c>
      <c r="V45" s="14" t="s">
        <v>505</v>
      </c>
    </row>
  </sheetData>
  <mergeCells count="2">
    <mergeCell ref="A1:V1"/>
    <mergeCell ref="A2:V2"/>
  </mergeCells>
  <conditionalFormatting sqref="R6:R45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S6:S45">
    <cfRule type="containsText" dxfId="1" priority="2" operator="containsText" text="High"/>
    <cfRule type="containsText" dxfId="0" priority="3" operator="containsText" text="Medium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showGridLines="0" workbookViewId="0"/>
  </sheetViews>
  <sheetFormatPr defaultRowHeight="14.25"/>
  <cols>
    <col min="1" max="1" width="20" customWidth="1"/>
    <col min="2" max="2" width="45" customWidth="1"/>
    <col min="3" max="3" width="34" customWidth="1"/>
    <col min="4" max="4" width="37" customWidth="1"/>
    <col min="5" max="5" width="34" customWidth="1"/>
    <col min="6" max="6" width="37" customWidth="1"/>
  </cols>
  <sheetData>
    <row r="1" spans="1:6" ht="33.950000000000003" customHeight="1">
      <c r="A1" s="23" t="s">
        <v>506</v>
      </c>
      <c r="B1" s="23" t="s">
        <v>506</v>
      </c>
      <c r="C1" s="23" t="s">
        <v>506</v>
      </c>
      <c r="D1" s="23" t="s">
        <v>506</v>
      </c>
      <c r="E1" s="23" t="s">
        <v>506</v>
      </c>
      <c r="F1" s="23" t="s">
        <v>506</v>
      </c>
    </row>
    <row r="2" spans="1:6">
      <c r="A2" s="31" t="s">
        <v>507</v>
      </c>
      <c r="B2" s="31"/>
      <c r="C2" s="31"/>
      <c r="D2" s="31"/>
      <c r="E2" s="31"/>
      <c r="F2" s="31"/>
    </row>
    <row r="3" spans="1:6">
      <c r="A3" s="31"/>
      <c r="B3" s="31"/>
      <c r="C3" s="31"/>
      <c r="D3" s="31"/>
      <c r="E3" s="31"/>
      <c r="F3" s="31"/>
    </row>
    <row r="5" spans="1:6" ht="32.1" customHeight="1">
      <c r="A5" s="3" t="s">
        <v>7</v>
      </c>
      <c r="B5" s="3" t="s">
        <v>508</v>
      </c>
      <c r="C5" s="3" t="s">
        <v>509</v>
      </c>
      <c r="D5" s="3" t="s">
        <v>510</v>
      </c>
      <c r="E5" s="3" t="s">
        <v>511</v>
      </c>
      <c r="F5" s="3" t="s">
        <v>512</v>
      </c>
    </row>
    <row r="6" spans="1:6" ht="92.1" customHeight="1">
      <c r="A6" s="19" t="s">
        <v>513</v>
      </c>
      <c r="B6" s="19" t="s">
        <v>514</v>
      </c>
      <c r="C6" s="19" t="s">
        <v>515</v>
      </c>
      <c r="D6" s="19" t="s">
        <v>516</v>
      </c>
      <c r="E6" s="19" t="s">
        <v>517</v>
      </c>
      <c r="F6" s="19" t="s">
        <v>518</v>
      </c>
    </row>
    <row r="7" spans="1:6" ht="92.1" customHeight="1">
      <c r="A7" s="19" t="s">
        <v>270</v>
      </c>
      <c r="B7" s="19" t="s">
        <v>519</v>
      </c>
      <c r="C7" s="19" t="s">
        <v>520</v>
      </c>
      <c r="D7" s="19" t="s">
        <v>521</v>
      </c>
      <c r="E7" s="19" t="s">
        <v>522</v>
      </c>
      <c r="F7" s="19" t="s">
        <v>523</v>
      </c>
    </row>
    <row r="8" spans="1:6" ht="92.1" customHeight="1">
      <c r="A8" s="19" t="s">
        <v>223</v>
      </c>
      <c r="B8" s="19" t="s">
        <v>524</v>
      </c>
      <c r="C8" s="19" t="s">
        <v>525</v>
      </c>
      <c r="D8" s="19" t="s">
        <v>526</v>
      </c>
      <c r="E8" s="19" t="s">
        <v>527</v>
      </c>
      <c r="F8" s="19" t="s">
        <v>528</v>
      </c>
    </row>
    <row r="9" spans="1:6" ht="92.1" customHeight="1">
      <c r="A9" s="19" t="s">
        <v>529</v>
      </c>
      <c r="B9" s="19" t="s">
        <v>530</v>
      </c>
      <c r="C9" s="19" t="s">
        <v>531</v>
      </c>
      <c r="D9" s="19" t="s">
        <v>532</v>
      </c>
      <c r="E9" s="19" t="s">
        <v>533</v>
      </c>
      <c r="F9" s="19" t="s">
        <v>534</v>
      </c>
    </row>
    <row r="10" spans="1:6" ht="92.1" customHeight="1">
      <c r="A10" s="19" t="s">
        <v>535</v>
      </c>
      <c r="B10" s="19" t="s">
        <v>536</v>
      </c>
      <c r="C10" s="19" t="s">
        <v>537</v>
      </c>
      <c r="D10" s="19" t="s">
        <v>538</v>
      </c>
      <c r="E10" s="19" t="s">
        <v>539</v>
      </c>
      <c r="F10" s="19" t="s">
        <v>540</v>
      </c>
    </row>
    <row r="11" spans="1:6" ht="92.1" customHeight="1">
      <c r="A11" s="20" t="s">
        <v>541</v>
      </c>
      <c r="B11" s="20" t="s">
        <v>542</v>
      </c>
      <c r="C11" s="20" t="s">
        <v>543</v>
      </c>
      <c r="D11" s="20" t="s">
        <v>544</v>
      </c>
      <c r="E11" s="20" t="s">
        <v>545</v>
      </c>
      <c r="F11" s="20" t="s">
        <v>546</v>
      </c>
    </row>
    <row r="14" spans="1:6" ht="16.5">
      <c r="A14" s="32" t="s">
        <v>547</v>
      </c>
      <c r="B14" s="32"/>
      <c r="C14" s="32"/>
      <c r="D14" s="32"/>
      <c r="E14" s="32"/>
      <c r="F14" s="32"/>
    </row>
    <row r="15" spans="1:6" ht="36" customHeight="1">
      <c r="A15" s="21" t="s">
        <v>548</v>
      </c>
      <c r="B15" s="33" t="s">
        <v>549</v>
      </c>
      <c r="C15" s="33"/>
      <c r="D15" s="33"/>
      <c r="E15" s="33"/>
      <c r="F15" s="33"/>
    </row>
    <row r="16" spans="1:6" ht="36" customHeight="1">
      <c r="A16" s="21" t="s">
        <v>550</v>
      </c>
      <c r="B16" s="33" t="s">
        <v>551</v>
      </c>
      <c r="C16" s="33"/>
      <c r="D16" s="33"/>
      <c r="E16" s="33"/>
      <c r="F16" s="33"/>
    </row>
    <row r="17" spans="1:6" ht="36" customHeight="1">
      <c r="A17" s="21" t="s">
        <v>552</v>
      </c>
      <c r="B17" s="33" t="s">
        <v>553</v>
      </c>
      <c r="C17" s="33"/>
      <c r="D17" s="33"/>
      <c r="E17" s="33"/>
      <c r="F17" s="33"/>
    </row>
    <row r="18" spans="1:6" ht="36" customHeight="1">
      <c r="A18" s="21" t="s">
        <v>554</v>
      </c>
      <c r="B18" s="33" t="s">
        <v>555</v>
      </c>
      <c r="C18" s="33"/>
      <c r="D18" s="33"/>
      <c r="E18" s="33"/>
      <c r="F18" s="33"/>
    </row>
    <row r="19" spans="1:6" ht="36" customHeight="1">
      <c r="A19" s="21" t="s">
        <v>556</v>
      </c>
      <c r="B19" s="33" t="s">
        <v>557</v>
      </c>
      <c r="C19" s="33"/>
      <c r="D19" s="33"/>
      <c r="E19" s="33"/>
      <c r="F19" s="33"/>
    </row>
    <row r="20" spans="1:6" ht="36" customHeight="1">
      <c r="A20" s="21" t="s">
        <v>558</v>
      </c>
      <c r="B20" s="33" t="s">
        <v>559</v>
      </c>
      <c r="C20" s="33"/>
      <c r="D20" s="33"/>
      <c r="E20" s="33"/>
      <c r="F20" s="33"/>
    </row>
    <row r="23" spans="1:6" ht="16.5">
      <c r="A23" s="32" t="s">
        <v>560</v>
      </c>
      <c r="B23" s="32"/>
      <c r="C23" s="32"/>
      <c r="D23" s="32"/>
      <c r="E23" s="32"/>
      <c r="F23" s="32"/>
    </row>
    <row r="24" spans="1:6" ht="32.1" customHeight="1">
      <c r="A24" s="1" t="s">
        <v>561</v>
      </c>
      <c r="B24" s="1" t="s">
        <v>562</v>
      </c>
      <c r="C24" s="1" t="s">
        <v>563</v>
      </c>
      <c r="D24" s="1" t="s">
        <v>564</v>
      </c>
      <c r="E24" s="1" t="s">
        <v>565</v>
      </c>
      <c r="F24" s="1" t="s">
        <v>566</v>
      </c>
    </row>
    <row r="25" spans="1:6" ht="60" customHeight="1">
      <c r="A25" s="18" t="s">
        <v>567</v>
      </c>
      <c r="B25" s="18" t="s">
        <v>568</v>
      </c>
      <c r="C25" s="18" t="s">
        <v>569</v>
      </c>
      <c r="D25" s="18" t="s">
        <v>570</v>
      </c>
      <c r="E25" s="18" t="s">
        <v>571</v>
      </c>
      <c r="F25" s="18" t="s">
        <v>572</v>
      </c>
    </row>
    <row r="26" spans="1:6" ht="60" customHeight="1">
      <c r="A26" s="18" t="s">
        <v>573</v>
      </c>
      <c r="B26" s="18" t="s">
        <v>574</v>
      </c>
      <c r="C26" s="18" t="s">
        <v>575</v>
      </c>
      <c r="D26" s="18" t="s">
        <v>576</v>
      </c>
      <c r="E26" s="18" t="s">
        <v>577</v>
      </c>
      <c r="F26" s="18" t="s">
        <v>578</v>
      </c>
    </row>
    <row r="27" spans="1:6" ht="60" customHeight="1">
      <c r="A27" s="18" t="s">
        <v>579</v>
      </c>
      <c r="B27" s="18" t="s">
        <v>580</v>
      </c>
      <c r="C27" s="18" t="s">
        <v>581</v>
      </c>
      <c r="D27" s="18" t="s">
        <v>582</v>
      </c>
      <c r="E27" s="18" t="s">
        <v>583</v>
      </c>
      <c r="F27" s="18" t="s">
        <v>584</v>
      </c>
    </row>
    <row r="28" spans="1:6" ht="60" customHeight="1">
      <c r="A28" s="18" t="s">
        <v>585</v>
      </c>
      <c r="B28" s="18" t="s">
        <v>586</v>
      </c>
      <c r="C28" s="18" t="s">
        <v>587</v>
      </c>
      <c r="D28" s="18" t="s">
        <v>588</v>
      </c>
      <c r="E28" s="18" t="s">
        <v>589</v>
      </c>
      <c r="F28" s="18" t="s">
        <v>590</v>
      </c>
    </row>
    <row r="31" spans="1:6" ht="16.5">
      <c r="A31" s="32" t="s">
        <v>591</v>
      </c>
      <c r="B31" s="32"/>
      <c r="C31" s="32"/>
      <c r="D31" s="32"/>
      <c r="E31" s="32"/>
      <c r="F31" s="32"/>
    </row>
    <row r="32" spans="1:6" ht="27.95" customHeight="1">
      <c r="A32" s="34" t="s">
        <v>592</v>
      </c>
      <c r="B32" s="34"/>
      <c r="C32" s="34"/>
      <c r="D32" s="34"/>
      <c r="E32" s="34"/>
      <c r="F32" s="34"/>
    </row>
    <row r="33" spans="1:6" ht="27.95" customHeight="1">
      <c r="A33" s="34"/>
      <c r="B33" s="34"/>
      <c r="C33" s="34"/>
      <c r="D33" s="34"/>
      <c r="E33" s="34"/>
      <c r="F33" s="34"/>
    </row>
    <row r="34" spans="1:6" ht="27.95" customHeight="1">
      <c r="A34" s="34"/>
      <c r="B34" s="34"/>
      <c r="C34" s="34"/>
      <c r="D34" s="34"/>
      <c r="E34" s="34"/>
      <c r="F34" s="34"/>
    </row>
    <row r="35" spans="1:6" ht="27.95" customHeight="1">
      <c r="A35" s="34"/>
      <c r="B35" s="34"/>
      <c r="C35" s="34"/>
      <c r="D35" s="34"/>
      <c r="E35" s="34"/>
      <c r="F35" s="34"/>
    </row>
    <row r="36" spans="1:6" ht="27.95" customHeight="1">
      <c r="A36" s="34"/>
      <c r="B36" s="34"/>
      <c r="C36" s="34"/>
      <c r="D36" s="34"/>
      <c r="E36" s="34"/>
      <c r="F36" s="34"/>
    </row>
    <row r="37" spans="1:6" ht="27.95" customHeight="1">
      <c r="A37" s="34"/>
      <c r="B37" s="34"/>
      <c r="C37" s="34"/>
      <c r="D37" s="34"/>
      <c r="E37" s="34"/>
      <c r="F37" s="34"/>
    </row>
  </sheetData>
  <mergeCells count="12">
    <mergeCell ref="A31:F31"/>
    <mergeCell ref="A32:F37"/>
    <mergeCell ref="B17:F17"/>
    <mergeCell ref="B18:F18"/>
    <mergeCell ref="B19:F19"/>
    <mergeCell ref="B20:F20"/>
    <mergeCell ref="A23:F23"/>
    <mergeCell ref="A1:F1"/>
    <mergeCell ref="A2:F3"/>
    <mergeCell ref="A14:F14"/>
    <mergeCell ref="B15:F15"/>
    <mergeCell ref="B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showGridLines="0" workbookViewId="0"/>
  </sheetViews>
  <sheetFormatPr defaultRowHeight="14.25"/>
  <cols>
    <col min="1" max="1" width="24" customWidth="1"/>
    <col min="2" max="2" width="40" customWidth="1"/>
    <col min="3" max="3" width="24" customWidth="1"/>
    <col min="4" max="4" width="40" customWidth="1"/>
    <col min="5" max="5" width="24" customWidth="1"/>
    <col min="6" max="6" width="40" customWidth="1"/>
  </cols>
  <sheetData>
    <row r="1" spans="1:6" ht="33.950000000000003" customHeight="1">
      <c r="A1" s="23" t="s">
        <v>593</v>
      </c>
      <c r="B1" s="23" t="s">
        <v>593</v>
      </c>
      <c r="C1" s="23" t="s">
        <v>593</v>
      </c>
      <c r="D1" s="23" t="s">
        <v>593</v>
      </c>
      <c r="E1" s="23" t="s">
        <v>593</v>
      </c>
      <c r="F1" s="23" t="s">
        <v>593</v>
      </c>
    </row>
    <row r="3" spans="1:6" ht="32.1" customHeight="1">
      <c r="A3" s="1" t="s">
        <v>594</v>
      </c>
      <c r="B3" s="1" t="s">
        <v>595</v>
      </c>
      <c r="C3" s="1" t="s">
        <v>596</v>
      </c>
      <c r="D3" s="1" t="s">
        <v>597</v>
      </c>
      <c r="E3" s="1" t="s">
        <v>598</v>
      </c>
      <c r="F3" s="1" t="s">
        <v>563</v>
      </c>
    </row>
    <row r="4" spans="1:6" ht="56.1" customHeight="1">
      <c r="A4" s="18" t="s">
        <v>599</v>
      </c>
      <c r="B4" s="18">
        <v>7</v>
      </c>
      <c r="C4" s="18" t="s">
        <v>600</v>
      </c>
      <c r="D4" s="18" t="s">
        <v>601</v>
      </c>
      <c r="E4" s="18" t="s">
        <v>602</v>
      </c>
      <c r="F4" s="18" t="s">
        <v>603</v>
      </c>
    </row>
    <row r="5" spans="1:6" ht="56.1" customHeight="1">
      <c r="A5" s="18" t="s">
        <v>604</v>
      </c>
      <c r="B5" s="18">
        <v>5</v>
      </c>
      <c r="C5" s="18" t="s">
        <v>605</v>
      </c>
      <c r="D5" s="18" t="s">
        <v>606</v>
      </c>
      <c r="E5" s="18" t="s">
        <v>607</v>
      </c>
      <c r="F5" s="18" t="s">
        <v>608</v>
      </c>
    </row>
    <row r="6" spans="1:6" ht="56.1" customHeight="1">
      <c r="A6" s="18" t="s">
        <v>609</v>
      </c>
      <c r="B6" s="18">
        <v>4</v>
      </c>
      <c r="C6" s="18" t="s">
        <v>610</v>
      </c>
      <c r="D6" s="18" t="s">
        <v>611</v>
      </c>
      <c r="E6" s="18" t="s">
        <v>612</v>
      </c>
      <c r="F6" s="18" t="s">
        <v>613</v>
      </c>
    </row>
    <row r="7" spans="1:6" ht="56.1" customHeight="1">
      <c r="A7" s="18" t="s">
        <v>614</v>
      </c>
      <c r="B7" s="18">
        <v>4</v>
      </c>
      <c r="C7" s="18" t="s">
        <v>615</v>
      </c>
      <c r="D7" s="18" t="s">
        <v>616</v>
      </c>
      <c r="E7" s="18" t="s">
        <v>617</v>
      </c>
      <c r="F7" s="18" t="s">
        <v>618</v>
      </c>
    </row>
    <row r="8" spans="1:6" ht="56.1" customHeight="1">
      <c r="A8" s="18" t="s">
        <v>619</v>
      </c>
      <c r="B8" s="18">
        <v>-2</v>
      </c>
      <c r="C8" s="18" t="s">
        <v>620</v>
      </c>
      <c r="D8" s="18" t="s">
        <v>621</v>
      </c>
      <c r="E8" s="18" t="s">
        <v>622</v>
      </c>
      <c r="F8" s="18" t="s">
        <v>623</v>
      </c>
    </row>
    <row r="11" spans="1:6" ht="15.75">
      <c r="A11" s="35" t="s">
        <v>624</v>
      </c>
      <c r="B11" s="35"/>
      <c r="C11" s="35"/>
      <c r="D11" s="35"/>
      <c r="E11" s="35"/>
      <c r="F11" s="35"/>
    </row>
    <row r="14" spans="1:6" ht="32.1" customHeight="1">
      <c r="A14" s="1" t="s">
        <v>625</v>
      </c>
      <c r="B14" s="1" t="s">
        <v>626</v>
      </c>
      <c r="C14" s="1" t="s">
        <v>627</v>
      </c>
      <c r="D14" s="1" t="s">
        <v>628</v>
      </c>
      <c r="E14" s="1" t="s">
        <v>629</v>
      </c>
      <c r="F14" s="1" t="s">
        <v>44</v>
      </c>
    </row>
    <row r="15" spans="1:6" ht="57.95" customHeight="1">
      <c r="A15" s="18" t="s">
        <v>630</v>
      </c>
      <c r="B15" s="18" t="s">
        <v>631</v>
      </c>
      <c r="C15" s="18" t="s">
        <v>632</v>
      </c>
      <c r="D15" s="18" t="s">
        <v>633</v>
      </c>
      <c r="E15" s="18">
        <v>1</v>
      </c>
      <c r="F15" s="18" t="s">
        <v>634</v>
      </c>
    </row>
    <row r="16" spans="1:6" ht="57.95" customHeight="1">
      <c r="A16" s="18" t="s">
        <v>635</v>
      </c>
      <c r="B16" s="18" t="s">
        <v>636</v>
      </c>
      <c r="C16" s="18" t="s">
        <v>637</v>
      </c>
      <c r="D16" s="18" t="s">
        <v>638</v>
      </c>
      <c r="E16" s="18">
        <v>5</v>
      </c>
      <c r="F16" s="18" t="s">
        <v>639</v>
      </c>
    </row>
    <row r="17" spans="1:6" ht="57.95" customHeight="1">
      <c r="A17" s="18" t="s">
        <v>640</v>
      </c>
      <c r="B17" s="18" t="s">
        <v>641</v>
      </c>
      <c r="C17" s="18" t="s">
        <v>642</v>
      </c>
      <c r="D17" s="18" t="s">
        <v>643</v>
      </c>
      <c r="E17" s="18">
        <v>4</v>
      </c>
      <c r="F17" s="18" t="s">
        <v>644</v>
      </c>
    </row>
    <row r="18" spans="1:6" ht="57.95" customHeight="1">
      <c r="A18" s="18" t="s">
        <v>645</v>
      </c>
      <c r="B18" s="18" t="s">
        <v>646</v>
      </c>
      <c r="C18" s="18" t="s">
        <v>647</v>
      </c>
      <c r="D18" s="18" t="s">
        <v>648</v>
      </c>
      <c r="E18" s="18">
        <v>0</v>
      </c>
      <c r="F18" s="18" t="s">
        <v>649</v>
      </c>
    </row>
    <row r="19" spans="1:6" ht="57.95" customHeight="1">
      <c r="A19" s="18" t="s">
        <v>650</v>
      </c>
      <c r="B19" s="18" t="s">
        <v>651</v>
      </c>
      <c r="C19" s="18" t="s">
        <v>652</v>
      </c>
      <c r="D19" s="18" t="s">
        <v>653</v>
      </c>
      <c r="E19" s="18">
        <v>1</v>
      </c>
      <c r="F19" s="18" t="s">
        <v>654</v>
      </c>
    </row>
    <row r="22" spans="1:6" ht="16.5">
      <c r="A22" s="32" t="s">
        <v>655</v>
      </c>
      <c r="B22" s="32"/>
      <c r="C22" s="32"/>
      <c r="D22" s="32"/>
      <c r="E22" s="32"/>
      <c r="F22" s="32"/>
    </row>
    <row r="23" spans="1:6" ht="33.950000000000003" customHeight="1">
      <c r="A23" s="36" t="s">
        <v>656</v>
      </c>
      <c r="B23" s="36" t="s">
        <v>656</v>
      </c>
      <c r="C23" s="36" t="s">
        <v>656</v>
      </c>
      <c r="D23" s="36" t="s">
        <v>656</v>
      </c>
      <c r="E23" s="36" t="s">
        <v>656</v>
      </c>
      <c r="F23" s="36" t="s">
        <v>656</v>
      </c>
    </row>
    <row r="24" spans="1:6" ht="33.950000000000003" customHeight="1">
      <c r="A24" s="36" t="s">
        <v>657</v>
      </c>
      <c r="B24" s="36" t="s">
        <v>657</v>
      </c>
      <c r="C24" s="36" t="s">
        <v>657</v>
      </c>
      <c r="D24" s="36" t="s">
        <v>657</v>
      </c>
      <c r="E24" s="36" t="s">
        <v>657</v>
      </c>
      <c r="F24" s="36" t="s">
        <v>657</v>
      </c>
    </row>
    <row r="25" spans="1:6" ht="33.950000000000003" customHeight="1">
      <c r="A25" s="36" t="s">
        <v>658</v>
      </c>
      <c r="B25" s="36" t="s">
        <v>658</v>
      </c>
      <c r="C25" s="36" t="s">
        <v>658</v>
      </c>
      <c r="D25" s="36" t="s">
        <v>658</v>
      </c>
      <c r="E25" s="36" t="s">
        <v>658</v>
      </c>
      <c r="F25" s="36" t="s">
        <v>658</v>
      </c>
    </row>
    <row r="26" spans="1:6" ht="33.950000000000003" customHeight="1">
      <c r="A26" s="36" t="s">
        <v>659</v>
      </c>
      <c r="B26" s="36" t="s">
        <v>659</v>
      </c>
      <c r="C26" s="36" t="s">
        <v>659</v>
      </c>
      <c r="D26" s="36" t="s">
        <v>659</v>
      </c>
      <c r="E26" s="36" t="s">
        <v>659</v>
      </c>
      <c r="F26" s="36" t="s">
        <v>659</v>
      </c>
    </row>
    <row r="27" spans="1:6" ht="33.950000000000003" customHeight="1">
      <c r="A27" s="36" t="s">
        <v>660</v>
      </c>
      <c r="B27" s="36" t="s">
        <v>660</v>
      </c>
      <c r="C27" s="36" t="s">
        <v>660</v>
      </c>
      <c r="D27" s="36" t="s">
        <v>660</v>
      </c>
      <c r="E27" s="36" t="s">
        <v>660</v>
      </c>
      <c r="F27" s="36" t="s">
        <v>660</v>
      </c>
    </row>
    <row r="30" spans="1:6" ht="16.5">
      <c r="A30" s="32" t="s">
        <v>661</v>
      </c>
      <c r="B30" s="32"/>
      <c r="C30" s="32"/>
      <c r="D30" s="32"/>
      <c r="E30" s="32"/>
      <c r="F30" s="32"/>
    </row>
    <row r="31" spans="1:6" ht="48" customHeight="1">
      <c r="A31" s="22" t="s">
        <v>60</v>
      </c>
      <c r="B31" s="22" t="s">
        <v>69</v>
      </c>
      <c r="C31" s="22" t="s">
        <v>662</v>
      </c>
      <c r="D31" s="22" t="s">
        <v>57</v>
      </c>
      <c r="E31" s="22" t="s">
        <v>72</v>
      </c>
      <c r="F31" s="22" t="s">
        <v>80</v>
      </c>
    </row>
    <row r="32" spans="1:6" ht="48" customHeight="1">
      <c r="A32" s="22" t="s">
        <v>281</v>
      </c>
      <c r="B32" s="22" t="s">
        <v>287</v>
      </c>
      <c r="C32" s="22" t="s">
        <v>269</v>
      </c>
      <c r="D32" s="22" t="s">
        <v>278</v>
      </c>
      <c r="E32" s="22" t="s">
        <v>305</v>
      </c>
      <c r="F32" s="22" t="s">
        <v>312</v>
      </c>
    </row>
    <row r="33" spans="1:6" ht="48" customHeight="1">
      <c r="A33" s="22" t="s">
        <v>258</v>
      </c>
      <c r="B33" s="22" t="s">
        <v>266</v>
      </c>
      <c r="C33" s="22" t="s">
        <v>164</v>
      </c>
      <c r="D33" s="22" t="s">
        <v>174</v>
      </c>
      <c r="E33" s="22" t="s">
        <v>209</v>
      </c>
      <c r="F33" s="22" t="s">
        <v>219</v>
      </c>
    </row>
    <row r="34" spans="1:6" ht="48" customHeight="1">
      <c r="A34" s="22" t="s">
        <v>385</v>
      </c>
      <c r="B34" s="22" t="s">
        <v>395</v>
      </c>
      <c r="C34" s="22" t="s">
        <v>397</v>
      </c>
      <c r="D34" s="22" t="s">
        <v>407</v>
      </c>
      <c r="E34" s="22" t="s">
        <v>452</v>
      </c>
      <c r="F34" s="22" t="s">
        <v>462</v>
      </c>
    </row>
    <row r="35" spans="1:6" ht="48" customHeight="1">
      <c r="A35" s="22" t="s">
        <v>373</v>
      </c>
      <c r="B35" s="22" t="s">
        <v>383</v>
      </c>
      <c r="C35" s="22" t="s">
        <v>197</v>
      </c>
      <c r="D35" s="22" t="s">
        <v>207</v>
      </c>
      <c r="E35" s="22" t="s">
        <v>151</v>
      </c>
      <c r="F35" s="22" t="s">
        <v>160</v>
      </c>
    </row>
  </sheetData>
  <mergeCells count="9">
    <mergeCell ref="A25:F25"/>
    <mergeCell ref="A26:F26"/>
    <mergeCell ref="A27:F27"/>
    <mergeCell ref="A30:F30"/>
    <mergeCell ref="A1:F1"/>
    <mergeCell ref="A11:F11"/>
    <mergeCell ref="A22:F22"/>
    <mergeCell ref="A23:F23"/>
    <mergeCell ref="A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Priority 25</vt:lpstr>
      <vt:lpstr>All 40</vt:lpstr>
      <vt:lpstr>Outreach Plays</vt:lpstr>
      <vt:lpstr>Scoring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Turner</cp:lastModifiedBy>
  <dcterms:modified xsi:type="dcterms:W3CDTF">2026-08-31T08:10:49Z</dcterms:modified>
</cp:coreProperties>
</file>